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D:\DATA\TIEIT\Works\Sudha Analyticals\SA 2026-27\Process O2C\"/>
    </mc:Choice>
  </mc:AlternateContent>
  <xr:revisionPtr revIDLastSave="0" documentId="13_ncr:1_{459EA923-4BFB-453C-9A34-BBA226B2B07D}" xr6:coauthVersionLast="47" xr6:coauthVersionMax="47" xr10:uidLastSave="{00000000-0000-0000-0000-000000000000}"/>
  <bookViews>
    <workbookView xWindow="-103" yWindow="-103" windowWidth="22149" windowHeight="13200" activeTab="3" xr2:uid="{00000000-000D-0000-FFFF-FFFF00000000}"/>
  </bookViews>
  <sheets>
    <sheet name="BaseData" sheetId="1" r:id="rId1"/>
    <sheet name="Transformed PO" sheetId="2" r:id="rId2"/>
    <sheet name="Pivot Summary" sheetId="3" r:id="rId3"/>
    <sheet name="SALES Dashboard" sheetId="4" r:id="rId4"/>
  </sheets>
  <calcPr calcId="191029"/>
  <pivotCaches>
    <pivotCache cacheId="49" r:id="rId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5" i="4" l="1"/>
  <c r="AO43" i="4"/>
  <c r="AN43" i="4"/>
  <c r="AM43" i="4"/>
  <c r="AL43" i="4"/>
  <c r="AK43" i="4"/>
  <c r="AJ43" i="4"/>
  <c r="AL45" i="4" s="1"/>
  <c r="AO45" i="4" s="1"/>
  <c r="AO41" i="4"/>
  <c r="AN41" i="4"/>
  <c r="AM41" i="4"/>
  <c r="AL41" i="4"/>
  <c r="AK41" i="4"/>
  <c r="AJ41" i="4"/>
  <c r="AI38" i="4"/>
  <c r="AD45" i="4"/>
  <c r="AC45" i="4"/>
  <c r="AE44" i="4"/>
  <c r="AE45" i="4" s="1"/>
  <c r="AE43" i="4"/>
  <c r="AD44" i="4"/>
  <c r="AC44" i="4"/>
  <c r="AD43" i="4"/>
  <c r="AC43" i="4"/>
  <c r="AE41" i="4"/>
  <c r="AD41" i="4"/>
  <c r="AC41" i="4"/>
  <c r="AE40" i="4"/>
  <c r="AD40" i="4"/>
  <c r="AC40" i="4"/>
  <c r="AD39" i="4"/>
  <c r="AE39" i="4" s="1"/>
  <c r="AC39" i="4"/>
  <c r="AX34" i="4"/>
  <c r="AW34" i="4"/>
  <c r="AV34" i="4"/>
  <c r="AU34" i="4"/>
  <c r="AT34" i="4"/>
  <c r="AS34" i="4"/>
  <c r="AX33" i="4"/>
  <c r="AW33" i="4"/>
  <c r="AV33" i="4"/>
  <c r="AU33" i="4"/>
  <c r="AT33" i="4"/>
  <c r="AS33" i="4"/>
</calcChain>
</file>

<file path=xl/sharedStrings.xml><?xml version="1.0" encoding="utf-8"?>
<sst xmlns="http://schemas.openxmlformats.org/spreadsheetml/2006/main" count="3555" uniqueCount="490">
  <si>
    <t>Package</t>
  </si>
  <si>
    <t>Description of Item</t>
  </si>
  <si>
    <t>Qty</t>
  </si>
  <si>
    <t>UoM</t>
  </si>
  <si>
    <t>Supply 
Rate Pu</t>
  </si>
  <si>
    <t>Supply 
Amount</t>
  </si>
  <si>
    <t>Service 
Rate Pu</t>
  </si>
  <si>
    <t>Service
Amount</t>
  </si>
  <si>
    <t>STEP 1: Paste PO Details in respective columns Below from ROW 3.</t>
  </si>
  <si>
    <t>STEP 2: Click Process PO</t>
  </si>
  <si>
    <t>S.No</t>
  </si>
  <si>
    <t>AR&amp;D Lab Furniture &amp; Accessories</t>
  </si>
  <si>
    <t xml:space="preserve"> AR&amp;D LF</t>
  </si>
  <si>
    <t>HPLC ROOM</t>
  </si>
  <si>
    <t xml:space="preserve">Sitting  Height Work Bench  </t>
  </si>
  <si>
    <t>No's.</t>
  </si>
  <si>
    <t>* 7544 x 900 x 750 mm (W D H)</t>
  </si>
  <si>
    <t>* GPSP with Powder Coating</t>
  </si>
  <si>
    <t>* Black Granite Worktop</t>
  </si>
  <si>
    <t>* Sitting Height Under Bench Cabinets Door + Drawer 900 mm - 5 No's.</t>
  </si>
  <si>
    <t>* 750 mm Leg Space with openable panel - 3 No's.</t>
  </si>
  <si>
    <t>* 600 mm Leg Space with openable panel - 1 No's.</t>
  </si>
  <si>
    <t>* Service Drop - 1 No's</t>
  </si>
  <si>
    <t>* Electrical Race Way</t>
  </si>
  <si>
    <t xml:space="preserve">* Back Granite Supports </t>
  </si>
  <si>
    <t>* Filler Panels</t>
  </si>
  <si>
    <t>* PVC Skirting</t>
  </si>
  <si>
    <t xml:space="preserve">* 2 x 6/16 Amps (6 Module) Switch Sockets - 12 No's. </t>
  </si>
  <si>
    <t>* Data Points - 4 No's</t>
  </si>
  <si>
    <t>Sitting Height Island Work Bench</t>
  </si>
  <si>
    <t>* 5900 x 1800 x 750 mm (W D H)</t>
  </si>
  <si>
    <t>* Sitting Height Under Bench Cabinets Door + Drawer 900mm - 8 No's.</t>
  </si>
  <si>
    <t>* 750 mm Leg Space with openable panel - 6 No's.</t>
  </si>
  <si>
    <t>* Island Middle Frame</t>
  </si>
  <si>
    <t>* Electrical Raceway</t>
  </si>
  <si>
    <t>* Islandbench End Close Panel</t>
  </si>
  <si>
    <t xml:space="preserve">* 2 x 6/16 Amps (6 Module) Switch Sockets - 18 No's. </t>
  </si>
  <si>
    <t>* Data Points - 6 No's</t>
  </si>
  <si>
    <t>* 5900 x 900 x 750 mm (W D H)</t>
  </si>
  <si>
    <t>* Sitting Height Under Bench Cabinets Door + Drawer 900 mm - 4 No's.</t>
  </si>
  <si>
    <t xml:space="preserve">* 2 x 6/16 Amps (6 Module) Switch Sockets - 9 No's. </t>
  </si>
  <si>
    <t>* Data Points - 3 No's</t>
  </si>
  <si>
    <t>HPLC PREP</t>
  </si>
  <si>
    <t>Standing Height Anti-Vibration Table with Enclosure</t>
  </si>
  <si>
    <t>* 900mm W x 750 mm D x 900mm H</t>
  </si>
  <si>
    <t>* GI with Powder Coating</t>
  </si>
  <si>
    <t xml:space="preserve">* 2 x 6/16 Amps (6 Module) Switch Sockets - 1 No's. </t>
  </si>
  <si>
    <t>Standing Height Work Bench  with Sink Unit</t>
  </si>
  <si>
    <t>* 5150 x 900 x 900 mm (W D H)</t>
  </si>
  <si>
    <t>* Granite Skirting</t>
  </si>
  <si>
    <t>* Standing Height Under Bench Cabinets Door + Drawer 900 mm - 3 No's.</t>
  </si>
  <si>
    <t>* 750 mm Leg Space with openable panel - 2 No's.</t>
  </si>
  <si>
    <t>* Standing Height Sink Module 900mm -  1 No's.</t>
  </si>
  <si>
    <t>* PP Sink - 1 No's</t>
  </si>
  <si>
    <t>* 3 Way Water Faucet with Necessary Hardware</t>
  </si>
  <si>
    <t>* PP Bottle Trap for Drain &amp; Sink Outlet Nipple &amp; PP Hose Pipe with Coupler</t>
  </si>
  <si>
    <t>* Dual Eye Washer with Pipe</t>
  </si>
  <si>
    <t xml:space="preserve">* 2 x 6/16 Amps (6 Module) Switch Sockets - 7 No's. </t>
  </si>
  <si>
    <t>* Data Points - 2 No's</t>
  </si>
  <si>
    <t>Spot Extractor with Ceiling Mount Bracket</t>
  </si>
  <si>
    <t>GC</t>
  </si>
  <si>
    <t xml:space="preserve">" L " Shape Sitting  Height Work Bench  </t>
  </si>
  <si>
    <t>* ( 6350+2630 ) x 900 x 750 mm (W D H)</t>
  </si>
  <si>
    <t>* Sitting Height Under Bench Cabinets Door + Drawer 450 mm - 1 No's.</t>
  </si>
  <si>
    <t>* 700 mm Leg Space with openable panel - 1 No's.</t>
  </si>
  <si>
    <t>* H-Frame Support 750 mm - 1 No's</t>
  </si>
  <si>
    <t xml:space="preserve">* 2 x 6/16 Amps (6 Module) Switch Sockets - 8 No's. </t>
  </si>
  <si>
    <t>* 4700 x 900 x 750 mm (W D H)</t>
  </si>
  <si>
    <t>* Sitting Height Under Bench Cabinets Door + Drawer 900 mm - 3 No's.</t>
  </si>
  <si>
    <t xml:space="preserve">* 2 x 6/16 Amps (6 Module) Switch Sockets - 4 No's. </t>
  </si>
  <si>
    <t>GC PREP</t>
  </si>
  <si>
    <t>5' Bench Top Fume Hood With Horizontal &amp; Vertical Sliding Sash</t>
  </si>
  <si>
    <t>* 1500 x 950 x 2300mm (W D H)</t>
  </si>
  <si>
    <t>* MOC GPSP with Powder Coating</t>
  </si>
  <si>
    <t>* Phenolic Resin lined Interiors</t>
  </si>
  <si>
    <t>* 6mm Tampered Safety Glass for Sash</t>
  </si>
  <si>
    <t>* PP Lined Base Cabinets - 2 Nos</t>
  </si>
  <si>
    <t>* Light Fixture</t>
  </si>
  <si>
    <t xml:space="preserve">* Dished Granite Work Top 18mm with finishing </t>
  </si>
  <si>
    <t xml:space="preserve">* 3 Modular Cover frame with 6/16 A Switch &amp; Sockets - 6 nos </t>
  </si>
  <si>
    <t>* Remote Control Valves -  4 No's.</t>
  </si>
  <si>
    <t>* PP Cup Sink  - 1 No</t>
  </si>
  <si>
    <t>* Bottle Trap - 1 No</t>
  </si>
  <si>
    <t>* Fume Hood Furring panel</t>
  </si>
  <si>
    <t xml:space="preserve">* ABC Type fire extinguisher of 2 Kg with mounting bracket to be fixed inside the fume hood. </t>
  </si>
  <si>
    <t xml:space="preserve">* Pure Epoxy Scaffolding for 5' Hood </t>
  </si>
  <si>
    <t>* EMERGENCY STOP BUTTON</t>
  </si>
  <si>
    <t>* ( 4253+750 ) x 900 x 750 mm (W D H)</t>
  </si>
  <si>
    <t>* Sitting Height Under Bench Cabinets Door + Drawer 900 mm - 2 No's.</t>
  </si>
  <si>
    <t>* Sitting Height Under Bench Cabinets Door + Drawer 600 mm - 1 No's.</t>
  </si>
  <si>
    <t>* 750 mm Leg Space with openable panel - 1 No's.</t>
  </si>
  <si>
    <t>* Gable Leg</t>
  </si>
  <si>
    <t>GCMS</t>
  </si>
  <si>
    <t>* 2450 x 900 x 750 mm (W D H)</t>
  </si>
  <si>
    <t xml:space="preserve">* Finished Back Panel  </t>
  </si>
  <si>
    <t xml:space="preserve">* 2 x 6/16 Amps (6 Module) Switch Sockets - 2 No's. </t>
  </si>
  <si>
    <t>* Data Points - 1 No's</t>
  </si>
  <si>
    <t>CHEMICAL STORE</t>
  </si>
  <si>
    <t>Solvent Storage Cabinet</t>
  </si>
  <si>
    <t>* Size: 1092 mm W X 457 mm D X 1651 mm H</t>
  </si>
  <si>
    <t>Chemical Storage Cabinet</t>
  </si>
  <si>
    <t>* Size : 900 mm W X 500 mm D X 2100 mm H</t>
  </si>
  <si>
    <t>DOCUMENTATION &amp; DOCUMENT STORE</t>
  </si>
  <si>
    <t xml:space="preserve">Vertical Storage Cabinet </t>
  </si>
  <si>
    <t>* 900mm W x 500mm D x 2100mm H</t>
  </si>
  <si>
    <t>* Adjustable Metal Shelves</t>
  </si>
  <si>
    <t>GLASSWARE STORE</t>
  </si>
  <si>
    <t>* 750mm W x 500mm D x 2100mm H</t>
  </si>
  <si>
    <t>LCMS</t>
  </si>
  <si>
    <t>" L " Shape Sitting  Height Frame Table</t>
  </si>
  <si>
    <t>* ( 4302+3153 ) X 1050 X 750 MM ( W D H )</t>
  </si>
  <si>
    <t>* H-Frame Structure 7455 mm - 1 No's</t>
  </si>
  <si>
    <t>* 600 mm wide Storage Module with One Drawer Two Shutter on Castor Cabinet - 4 No's.</t>
  </si>
  <si>
    <t>IR ROOM 1</t>
  </si>
  <si>
    <t>ROOM 3</t>
  </si>
  <si>
    <t xml:space="preserve">" L " Shape Standing  Height Work Bench  </t>
  </si>
  <si>
    <t>* ( 2375+1180+1551 ) x 750 x 900 mm (W D H)</t>
  </si>
  <si>
    <t>* Standing Height Under Bench Cabinets Door + Drawer 900 mm - 1 No's.</t>
  </si>
  <si>
    <t>* Standing Height Under Bench Cabinets Door + Drawer 750 mm - 2 No's.</t>
  </si>
  <si>
    <t>* Standing Height Under Bench Corner Cabinet - 1 No.</t>
  </si>
  <si>
    <t>MALVERN/PSD ROOM-4</t>
  </si>
  <si>
    <t xml:space="preserve">* 2 x 6/16 Amps (6 Module) Switch Sockets - 6 No's. </t>
  </si>
  <si>
    <t>HOT ROOM</t>
  </si>
  <si>
    <t>6' Bench Top Fume Hood  With Horizontal &amp; Vertical Sliding Sash</t>
  </si>
  <si>
    <t>* 1800 x 950 x 2300mm (W D H)</t>
  </si>
  <si>
    <t>* Pure Epoxy Scaffolding for 6' Hood</t>
  </si>
  <si>
    <t>Standing  Height Work Bench  with Sink Unit</t>
  </si>
  <si>
    <t>* 3406 x 750 x 900 mm (W D H)</t>
  </si>
  <si>
    <t>* Standing Height Under Bench Cabinets Door + Drawer 900 mm - 2 No's.</t>
  </si>
  <si>
    <t>* Standing Height Sink Module 750mm -  1 No's.</t>
  </si>
  <si>
    <t>* One Way Water Faucet with Necessary Hardware</t>
  </si>
  <si>
    <t>* Peg Board</t>
  </si>
  <si>
    <t>WET CHEMISTRY</t>
  </si>
  <si>
    <t>6' Bench Top Fume Hood With Horizontal &amp; Vertical Sliding Sash</t>
  </si>
  <si>
    <t>" L " Shape Standing  Height Work Bench  with Sink Unit</t>
  </si>
  <si>
    <t>* ( 2725+1180+1000 ) x 900 x 900 mm (W D H)</t>
  </si>
  <si>
    <t>* Standing Height Under Bench Cabinets Door + Drawer 500 mm - 2 No's.</t>
  </si>
  <si>
    <t>* 900 mm Leg Space with openable panel - 1 No's.</t>
  </si>
  <si>
    <t xml:space="preserve">* 2 x 6/16 Amps (6 Module) Switch Sockets - 5 No's. </t>
  </si>
  <si>
    <t>" U " Shape Standing  Height Work Bench</t>
  </si>
  <si>
    <t>* ( 4375+1180+1000+4700 ) x 900 x 900 mm (W D H)</t>
  </si>
  <si>
    <t>* Standing Height Under Bench Cabinets Door + Drawer 900 mm - 4 No's.</t>
  </si>
  <si>
    <t>* Standing Height Under Bench Cabinets Door + Drawer 450 mm - 2 No's.</t>
  </si>
  <si>
    <t>* 750 mm Leg Space with openable panel - 4 No's.</t>
  </si>
  <si>
    <t>* H-Frame Supports 900 mm - 1 No's</t>
  </si>
  <si>
    <t xml:space="preserve">* Finished Back Panel </t>
  </si>
  <si>
    <t>FREEZERS/HOT EQUIPMENT ROOM</t>
  </si>
  <si>
    <t>Standing  Height Work Bench</t>
  </si>
  <si>
    <t>* 2606 x 900 x 900 mm (W D H)</t>
  </si>
  <si>
    <t xml:space="preserve">* 2 x 6/16 Amps (6 Module) Switch Sockets - 3 No's. </t>
  </si>
  <si>
    <t>STABILITY</t>
  </si>
  <si>
    <t>* 1370 x 750x 900 mm (W D H)</t>
  </si>
  <si>
    <t>* Standing Height Under Bench Cabinets Door + Drawer 450 mm - 1 No's.</t>
  </si>
  <si>
    <t>* 800 mm Leg Space with openable panel - 1 No's.</t>
  </si>
  <si>
    <t>NMR</t>
  </si>
  <si>
    <t>* 2230 x 750x 900 mm (W D H)</t>
  </si>
  <si>
    <t>GENERAL STORE</t>
  </si>
  <si>
    <t>Open Racks</t>
  </si>
  <si>
    <t>* 900 W x 500mm D x 2100mm H</t>
  </si>
  <si>
    <t>* GI with Powder Coated</t>
  </si>
  <si>
    <t>WASHING ROOM</t>
  </si>
  <si>
    <t>* 4842 x 750 x 900 mm (W D H)</t>
  </si>
  <si>
    <t>* Canopy Hood :-SIZE:- 900 MML X 750 MM D X 350 MMH</t>
  </si>
  <si>
    <t>* Standing Height Sink Module 900mm -  2 No's.</t>
  </si>
  <si>
    <t>* PP Sink - 2 No's</t>
  </si>
  <si>
    <t>R&amp;D Lab Furniture &amp; Accessories</t>
  </si>
  <si>
    <t xml:space="preserve"> R&amp;D LF</t>
  </si>
  <si>
    <t xml:space="preserve">Chemical Storage Cabinet with Exhaust </t>
  </si>
  <si>
    <t>SOLVENT</t>
  </si>
  <si>
    <t>Solvent Storage Cabinets</t>
  </si>
  <si>
    <t>* Size: 1000 mm W X 500 mm D X 2100 mm H</t>
  </si>
  <si>
    <t>WASH AREA</t>
  </si>
  <si>
    <t>* 3701 x 750 x 900 mm (W D H)</t>
  </si>
  <si>
    <t>* Dual Eye Wah with Pipe</t>
  </si>
  <si>
    <t>* 2450 x 750 x 750 mm (W D H)</t>
  </si>
  <si>
    <t>* Sitting Height Under Bench Cabinets Door + Drawer 450 mm - 2 No's.</t>
  </si>
  <si>
    <t>LAB-01</t>
  </si>
  <si>
    <t>Standing Height Anti-Vibration Table</t>
  </si>
  <si>
    <t>* 2575 x 900 x 900 mm (W D H)</t>
  </si>
  <si>
    <t xml:space="preserve">* Single Sided 2 Tier Reagent Rack with 200mm Depth </t>
  </si>
  <si>
    <t xml:space="preserve">* 2 x 6/16 Amps (6 Module) Switch Sockets -4 No's. </t>
  </si>
  <si>
    <t>* 2641 x 900 x 900 mm (W D H)</t>
  </si>
  <si>
    <t>Standing Height Island Work Bench with Sink Unit</t>
  </si>
  <si>
    <t>* 4550 x 1500 x 900 mm (W D H)</t>
  </si>
  <si>
    <t>* Standing Height Under Bench Cabinets Door + Drawer 900mm - 5 No's.</t>
  </si>
  <si>
    <t>* 900 mm Leg Space with openable panel - 4 No's.</t>
  </si>
  <si>
    <t>* Double Sided 2 Tier Reagent Rack with 300mm Depth</t>
  </si>
  <si>
    <t>Standing Height Work Bench with Sink Unit</t>
  </si>
  <si>
    <t>* 941 x 900 x 900 mm (W D H)</t>
  </si>
  <si>
    <t>LAB-02</t>
  </si>
  <si>
    <t>LAB-03</t>
  </si>
  <si>
    <t>LAB-04</t>
  </si>
  <si>
    <t>LAB-05</t>
  </si>
  <si>
    <t>LAB-06</t>
  </si>
  <si>
    <t>KILO LAB-01</t>
  </si>
  <si>
    <t>8' Walk In Fume Hood</t>
  </si>
  <si>
    <t>* 2400 x 950 x 2300mm (W D H)</t>
  </si>
  <si>
    <t>* 4475 x 1500 x 900 mm (W D H)</t>
  </si>
  <si>
    <t>* Standing Height Under Bench Cabinets Door + Drawer 900mm - 4 No's.</t>
  </si>
  <si>
    <t>* 1300 x 900 x 900 mm (W D H)</t>
  </si>
  <si>
    <t>8' Walk In Fume Hood With Horizontal &amp; Vertical Sliding Sash</t>
  </si>
  <si>
    <t>AR&amp;D Office Furniture &amp; Accessories</t>
  </si>
  <si>
    <t>Office Furniture</t>
  </si>
  <si>
    <t>CABIN TABLE WITH SIDE COMBO STORAGE</t>
  </si>
  <si>
    <t>Nos</t>
  </si>
  <si>
    <t xml:space="preserve">TABLE TOP :  25 MM thk. Prelaminated Particle Board  with 2MM PVC Edge band on all side.  Table top at 750MM height from floor level.  Cut-out provision for Access flap as required. </t>
  </si>
  <si>
    <t>UNDERSTRUCTURE :  Designer MS Tapered Leg  ( Hock leg ) made up of 50x75MM verticals and Horizontal Connecting member made up of 40x40MM MS pipe finished in Powder coating.  Cross members made up of 40x40MM MS Section finished in Powder coating  are connected to Legs with Brackets for table support.</t>
  </si>
  <si>
    <t>WIRE MANAGMENT : Powder coated Switch mounting box below table top.  Provision of  vertical duct  to take out cable from floor to box.</t>
  </si>
  <si>
    <t>MODESTY 450 MM HT.:  Metal modesty panel with laser-cut embellishments made up of 1.5MM thick CRCA finished in Powder coating</t>
  </si>
  <si>
    <t>ACCESS  FLAP 450MM LENGTH : Special Aluminium access flap.</t>
  </si>
  <si>
    <t xml:space="preserve">SIDE  CREDENZA :  2 Drawers &amp; 1 Filling Drawer With 2 Openable Shutter finish in 25 / 18 MM thk. Prelaminated PB Board  2MM PVC Edge band to all Exposed Area &amp; Metal Drawer with Centralized Lock F Finger groove Handles. ( SIZE : 1200 X 450 X 750 MM HT.  )    </t>
  </si>
  <si>
    <t>LINEAR WORKSTATION  WITH 60MM MAIN &amp; 28MM RETURN PARTITION</t>
  </si>
  <si>
    <t xml:space="preserve">MAIN PARTITION :  60 MM THK  Slide-in Tile Based  Partition of 1200mm Ht. with  powder coating finish. </t>
  </si>
  <si>
    <t>WIRE MANAGEMENT : One Raceway at Skirting ,  Second Raceway Optional -   Below Table Top.</t>
  </si>
  <si>
    <t>FINISHES ABOVE TABLE TOP : Glass Marker / Magnetic Fabric</t>
  </si>
  <si>
    <t xml:space="preserve">FINISHES BELOW TABLE TOP : 9 mm Thk. Prelaminated Prelaminated Particle panel </t>
  </si>
  <si>
    <t>RETURN PARTITION :  28 MM THK Panel Based Partition of 1200mm Ht. with powder coating finish.</t>
  </si>
  <si>
    <t xml:space="preserve">FINISHES ABOVE TABLE TOP : Fabric </t>
  </si>
  <si>
    <t>FINISHES BELOW TABLE TOP : Prelaminated Panels</t>
  </si>
  <si>
    <t>PRIVACY SCREEN 450 MM ht. : 8MM thick Frosted Glass from SOS standard colour range fitted on Special  D brackets</t>
  </si>
  <si>
    <t xml:space="preserve">TABLE TOP :  25 MM thk. Prelaminated Particle Board  with 2mm PVC Edge band on all side.  Table top at 750mm height from floor level.  Cut-out provision for wire manger as required. </t>
  </si>
  <si>
    <t xml:space="preserve">GABLE END :  25 MM thk. Prelaminated Particle Board  with machine pressed PVC Edge band on all side.  </t>
  </si>
  <si>
    <t xml:space="preserve">BRACKET : Corner &amp; Cantilever bracket for worktable support finished in powder coating </t>
  </si>
  <si>
    <t xml:space="preserve">PVC GROMMET </t>
  </si>
  <si>
    <t>PLPB MOBILE PEDETASAL - 2B + 1 WITH FINGER GROOVE HANDLES</t>
  </si>
  <si>
    <t>PEDESTAL : 2 Drawers &amp; 1 Filling Drawer pedestal with Castor finish in 18 MM thk. Prelaminated Particle Board Board  2MM PVC Edge band to all Exposed Area &amp; Metal Drawer with Centralized Lock with inger groove handle.</t>
  </si>
  <si>
    <t>Elan high  back  CHAIR for Cabins</t>
  </si>
  <si>
    <t>HIGH BACK CHAIR 
1 D PU ARM 
SYNCRO 1P LOCKING MECHANISM
60MM NY CASTOR 
660MM NYLON BASE
FABRIC FINISH SEAT
MESH BACK</t>
  </si>
  <si>
    <t>R&amp;D Office Furniture &amp; Accessories</t>
  </si>
  <si>
    <t xml:space="preserve">PPFRP Exhaust System &amp; Accessories </t>
  </si>
  <si>
    <t>A</t>
  </si>
  <si>
    <t>PPFRP Exhaust</t>
  </si>
  <si>
    <t>AR&amp;D LAB  PPFRP Exhaust</t>
  </si>
  <si>
    <t xml:space="preserve">3mm PP + 2mm FRP Ducting with Necessary  Installation Hardware and reducers </t>
  </si>
  <si>
    <t>Sq.Mtr</t>
  </si>
  <si>
    <t xml:space="preserve">100 mm Dia Damper for Spot Extractors,  Exhaust Storage Cabinets </t>
  </si>
  <si>
    <t>No.s</t>
  </si>
  <si>
    <t>300 mm Dia PP Damper for Fume hoods</t>
  </si>
  <si>
    <t xml:space="preserve">250 mm Dia Damper for Canopy Hoods </t>
  </si>
  <si>
    <t xml:space="preserve">100 mm Dia Flexible Hose with Clamps for Spot Extractors,  Exhaust Storage Cabinets </t>
  </si>
  <si>
    <t>Mtrs</t>
  </si>
  <si>
    <t>300 mm Flexible Hose with Clamps For Fume Hoods</t>
  </si>
  <si>
    <t>250 mm Dia Flexible Hose with Clamps for Canopy Hoods</t>
  </si>
  <si>
    <t xml:space="preserve">PP FRP Exhaust Blower </t>
  </si>
  <si>
    <t xml:space="preserve">* 1750 CFM  </t>
  </si>
  <si>
    <t>No's</t>
  </si>
  <si>
    <t xml:space="preserve">* 6 inch WG Static pressure </t>
  </si>
  <si>
    <t>* Centrifugal type with Non FLP Branded Motors</t>
  </si>
  <si>
    <t>* FRP Impeller with vibration isolator</t>
  </si>
  <si>
    <t xml:space="preserve">* 2400 CFM  </t>
  </si>
  <si>
    <t xml:space="preserve">* 960 CFM  </t>
  </si>
  <si>
    <t xml:space="preserve">Cluster 1: Scrubber Made of 3mm PP + 2mm FRP </t>
  </si>
  <si>
    <t>* 1750 CFM
* Inlet &amp; Outlet Nozzles, 
* Over Flow
* Water Inlet
* Water tube Level Indicator
* Inspection Door
* PP Pall Rings Packing
* Mist Eliminator
* Spray Nozzles
* Recirculation Pump 
* Drain Port with Valve</t>
  </si>
  <si>
    <t xml:space="preserve">Cluster 2: Scrubber Made of 3mm PP + 2mm FRP </t>
  </si>
  <si>
    <t>* 2400 CFM
* Inlet &amp; Outlet Nozzles, 
* Over Flow
* Water Inlet
* Water tube Level Indicator
* Inspection Door
* PP Pall Rings Packing
* Mist Eliminator
* Spray Nozzles
* Recirculation Pump 
* Drain Port with Valve</t>
  </si>
  <si>
    <t>R&amp;D LAB  PPFRP Exhaust</t>
  </si>
  <si>
    <t xml:space="preserve">3mm PP + 2mm FRP Ducting with Necessary Installation Hardware and reducers </t>
  </si>
  <si>
    <t xml:space="preserve">100 mm Dia Damper for Spot Extractors, Exhaust Storage Cabinets </t>
  </si>
  <si>
    <t xml:space="preserve">* Cluster 1 &amp; 2 : 5700 CFM  </t>
  </si>
  <si>
    <t xml:space="preserve">* Clusters 3,4,5,6,7,8 : 3400 CFM  </t>
  </si>
  <si>
    <t xml:space="preserve">* Cluster 9  : 1100 CFM  </t>
  </si>
  <si>
    <t xml:space="preserve">Cluster 1 &amp; 2 : Scrubber Made of 3mm PP + 2mm FRP </t>
  </si>
  <si>
    <t>* 5700 CFM
* Inlet &amp; Outlet Nozzles, 
* Over Flow
* Water Inlet
* Water tube Level Indicator
* Inspection Door
* PP Pall Rings Packing
* Mist Eliminator
* Spray Nozzles
* Recirculation Pump 
* Drain Port with Valve</t>
  </si>
  <si>
    <t xml:space="preserve">Clusters 3,4,5,6,7,8 : Scrubber (Made of 3mm PP + 2mm FRP </t>
  </si>
  <si>
    <t>* 3400 CFM
* Inlet &amp; Outlet Nozzles, 
* Over Flow
* Water Inlet
* Water tube Level Indicator
* Inspection Door
* PP Pall Rings Packing
* Mist Eliminator
* Spray Nozzles
* Recirculation Pump 
* Drain Port with Valve</t>
  </si>
  <si>
    <t xml:space="preserve">Cluster 9 : Scrubber (Made of 3mm PP + 2mm FRP </t>
  </si>
  <si>
    <t>* 1100 CFM
* Inlet &amp; Outlet Nozzles, 
* Over Flow
* Water Inlet
* Water tube Level Indicator
* Inspection Door
* PP Pall Rings Packing
* Mist Eliminator
* Spray Nozzles
* Recirculation Pump 
* Drain Port with Valve</t>
  </si>
  <si>
    <t>AR&amp;D and R&amp;D Lab  GDS BOQ</t>
  </si>
  <si>
    <t>I</t>
  </si>
  <si>
    <t>GDS</t>
  </si>
  <si>
    <t xml:space="preserve"> GC  - 8 No's </t>
  </si>
  <si>
    <t>1/8" Gas Purification Panel for 4 gases ( H2,N2,Air &amp; He )</t>
  </si>
  <si>
    <t>Set</t>
  </si>
  <si>
    <t>1/8" Gas Control Boxes for 4 gases ( H2,N2,Air &amp; He )</t>
  </si>
  <si>
    <t>Gas Selector Box for Nitrogen &amp; Helium</t>
  </si>
  <si>
    <t>1/8" Online particle Filter</t>
  </si>
  <si>
    <t>1/8" Pretreated Tubing with Color Coated Sleevs</t>
  </si>
  <si>
    <t>1/8" Nuts and Ferrules</t>
  </si>
  <si>
    <t>1/8" T joint</t>
  </si>
  <si>
    <t xml:space="preserve">1/8'' Regulator Adaptor </t>
  </si>
  <si>
    <t xml:space="preserve">Two stage Cylinders Regulator for 4 gases ( H2,N2,Air &amp; He ) </t>
  </si>
  <si>
    <t xml:space="preserve">Two Cylinder high pressure Manifolds for 4 gases ( H2,N2,Air &amp; He ) </t>
  </si>
  <si>
    <t>SS Braided High Pressure Pigtails for 4 gases ( H2,N2,Air &amp; He )</t>
  </si>
  <si>
    <t>Cylinder Holding &amp; Mounting Bracket</t>
  </si>
  <si>
    <t>Aluminium Powder Coated Casing</t>
  </si>
  <si>
    <t>Feet</t>
  </si>
  <si>
    <t xml:space="preserve">For LCMS - 1 No's </t>
  </si>
  <si>
    <t>1/4"OD to 1/8"OD Bulkhead</t>
  </si>
  <si>
    <t>1/8" Gas Purification Panel for Argon</t>
  </si>
  <si>
    <t>1/8" Online Particle Filter</t>
  </si>
  <si>
    <t>1/4" Regulator Adapters</t>
  </si>
  <si>
    <t>Two Cylinder High Pressure Manifold for Argon</t>
  </si>
  <si>
    <t>Two Stage Cylinder Regulator for Argon</t>
  </si>
  <si>
    <t>SS Braided High Pressure Pigtails with Safety Rope</t>
  </si>
  <si>
    <t>Cylinder Holding &amp; Mounting Bracket with Chains</t>
  </si>
  <si>
    <t>1/8" Gas Control Boxes 0- 2 kg</t>
  </si>
  <si>
    <t>1/8" SS Pre-treated Tubing with Colour Coated Sleeves</t>
  </si>
  <si>
    <t>Mtr</t>
  </si>
  <si>
    <t>Compressed Air For Fume Hoods - 38 No's</t>
  </si>
  <si>
    <t>Lot</t>
  </si>
  <si>
    <t>1/2", 3/8" &amp; 1/4"  OD SS 304 Pipe along with required L bends, Unions, Tee Joints, Reducing Tee Joints, Ball valves, Fittings with Nuts &amp; Ferrules, Manifolds, Regulatos, Pig tails, Cylinder Holders, Required supporting Materials &amp; Hard ware.</t>
  </si>
  <si>
    <t xml:space="preserve"> Nitrogen Line For Fume Hoods - 38 No's</t>
  </si>
  <si>
    <t>1/2", 3/8" &amp; 1/4" OD SS 304 Pipe along with required L bends, Unions, Tee Joints, Reducing Tee Joints, Ball valves, Fittings with Nuts &amp; Ferrules, Manifolds, Regulatos, Pig tails, Cylinder Holders, Required supporting Materials &amp; Hard ware.</t>
  </si>
  <si>
    <t>Vacuum Line For Fume Hoods - 38 No's</t>
  </si>
  <si>
    <t>2",1" &amp; 3/8" NB SS 304 Pipe along with required L bends, Unions, Tee Joints, Reducing Tee Joints, Ball valves, Fittings with Nuts &amp; Ferrules Required supporting Materials &amp; Hard ware.</t>
  </si>
  <si>
    <t xml:space="preserve">Raw Water for Fume Hoods - 38 nos.,  Sinks - 25 nos. &amp; Eye Washers - 23 nos. </t>
  </si>
  <si>
    <t>1 1/2", 1" &amp; 1/2" CPVC Pipe along with required L bends, Unions, Tee Joints, Reducing Tee Joints, Ball valves, Fittings with Nuts &amp; Ferrules Required supporting Materials &amp; Hard ware.</t>
  </si>
  <si>
    <t>Structrural Support for Above Utility Lining</t>
  </si>
  <si>
    <t>Anchor fatner for cealing support with nuts</t>
  </si>
  <si>
    <t>MS angular support for clamps</t>
  </si>
  <si>
    <t>PP Clamps for Pipe &amp; Tube Support</t>
  </si>
  <si>
    <t>Studrods for celing supports</t>
  </si>
  <si>
    <t>Washers and check nuts  for gas line support rods</t>
  </si>
  <si>
    <t>Supply &amp; Installation for Process Drainage System and Accessories</t>
  </si>
  <si>
    <t>Drainage System</t>
  </si>
  <si>
    <t>Supply of  HDPE Pipe Complete with necessary slope and fittings specials like flanges, end cap, bends, collar, Equal Tee, Reducing Tee, Y- type Tee, gaskets, bolts, nuts, washers, unions, heat welding,etc.The rate quoted shall include for necessary pipe clamps &amp; supports (including required size of anchor fasteners type, Threaded Rods, " U " Clamp &amp; Universal  GI clamps  with necessary bolts, washer and nuts etc.) to be considered for all sizes of every 1 mts distance.</t>
  </si>
  <si>
    <t>a</t>
  </si>
  <si>
    <t>110 mm OD - HDPE pipes</t>
  </si>
  <si>
    <t>b</t>
  </si>
  <si>
    <t>75 mm OD - HDPE pipes</t>
  </si>
  <si>
    <t>c</t>
  </si>
  <si>
    <t>50 mm OD - HDPE pipes</t>
  </si>
  <si>
    <t>Fume Hood Drain Connector (Including Stub end Flange and Threaded Flange)</t>
  </si>
  <si>
    <t>Sink Drain Connector (Including Stub end Flange and Threaded Flange)</t>
  </si>
  <si>
    <t>Matt finish) Double Sealwith Bottom Discharge Drain Trap. Confirming to Pharamceutical Grade.
Drain trap fabricated with 1.6mm sheet, consist of 1 Nos Perforated plate, Removable 2 Nos Seal with sislicon Gasket, Covering Lid of 2mm Thick to be provided for Drain trap.
Installtion included Core cutting  In slab, Sealing of Core cut Gap with Water proofing element.
Size : Drain Trapas per  site conditions with Outlet size 50 mm</t>
  </si>
  <si>
    <t>Sub Heading</t>
  </si>
  <si>
    <t>Item Heading</t>
  </si>
  <si>
    <t>Description</t>
  </si>
  <si>
    <t>Units</t>
  </si>
  <si>
    <t>Rate (Sup)</t>
  </si>
  <si>
    <t>Amount (Sup)</t>
  </si>
  <si>
    <t>Rate (Ser)</t>
  </si>
  <si>
    <t>Amount (Ser)</t>
  </si>
  <si>
    <t>Sitting Height Work Bench</t>
  </si>
  <si>
    <t>* 7544 x 900 x 750 mm (W D H) * GPSP with Powder Coating * Black Granite Worktop * Sitting Height Under Bench Cabinets Door + Drawer 900 mm - 5 No's. * 750 mm Leg Space with openable panel - 3 No's. * 600 mm Leg Space with openable panel - 1 No's. * Service Drop - 1 No's * Electrical Race Way * Back Granite Supports * Filler Panels * PVC Skirting * 2 x 6/16 Amps (6 Module) Switch Sockets - 12 No's. * Data Points - 4 No's</t>
  </si>
  <si>
    <t>* 5900 x 1800 x 750 mm (W D H) * GPSP with Powder Coating * Black Granite Worktop * Sitting Height Under Bench Cabinets Door + Drawer 900mm - 8 No's. * 750 mm Leg Space with openable panel - 6 No's. * Island Middle Frame * Service Drop - 1 No's * Electrical Raceway * Islandbench End Close Panel * PVC Skirting * 2 x 6/16 Amps (6 Module) Switch Sockets - 18 No's. * Data Points - 6 No's</t>
  </si>
  <si>
    <t>* 5900 x 900 x 750 mm (W D H) * GPSP with Powder Coating * Black Granite Worktop * Sitting Height Under Bench Cabinets Door + Drawer 900 mm - 4 No's. * 750 mm Leg Space with openable panel - 3 No's. * Service Drop - 1 No's * Electrical Race Way * Back Granite Supports * Filler Panels * PVC Skirting * 2 x 6/16 Amps (6 Module) Switch Sockets - 9 No's. * Data Points - 3 No's</t>
  </si>
  <si>
    <t>* 900mm W x 750 mm D x 900mm H * GI with Powder Coating * Black Granite Worktop * 2 x 6/16 Amps (6 Module) Switch Sockets - 1 No's.</t>
  </si>
  <si>
    <t>* 5150 x 900 x 900 mm (W D H) * GPSP with Powder Coating * Black Granite Worktop * Granite Skirting * Standing Height Under Bench Cabinets Door + Drawer 900 mm - 3 No's. * 750 mm Leg Space with openable panel - 2 No's. * Standing Height Sink Module 900mm - 1 No's. * PP Sink - 1 No's * 3 Way Water Faucet with Necessary Hardware * PP Bottle Trap for Drain &amp; Sink Outlet Nipple &amp; PP Hose Pipe with Coupler * Dual Eye Washer with Pipe * Service Drop - 1 No's * Electrical Race Way * Back Granite Supports * Filler Panels * PVC Skirting * 2 x 6/16 Amps (6 Module) Switch Sockets - 7 No's. * Data Points - 2 No's</t>
  </si>
  <si>
    <t>" L " Shape Sitting Height Work Bench</t>
  </si>
  <si>
    <t>* ( 6350+2630 ) x 900 x 750 mm (W D H) * GPSP with Powder Coating * Black Granite Worktop * Sitting Height Under Bench Cabinets Door + Drawer 900 mm - 5 No's. * Sitting Height Under Bench Cabinets Door + Drawer 450 mm - 1 No's. * 750 mm Leg Space with openable panel - 3 No's. * 700 mm Leg Space with openable panel - 1 No's. * H-Frame Support 750 mm - 1 No's * Service Drop - 1 No's * Electrical Race Way * Back Granite Supports * Filler Panels * PVC Skirting * 2 x 6/16 Amps (6 Module) Switch Sockets - 8 No's. * Data Points - 4 No's</t>
  </si>
  <si>
    <t>* 4700 x 900 x 750 mm (W D H) * GPSP with Powder Coating * Black Granite Worktop * Sitting Height Under Bench Cabinets Door + Drawer 900 mm - 3 No's. * Sitting Height Under Bench Cabinets Door + Drawer 450 mm - 1 No's. * 750 mm Leg Space with openable panel - 2 No's. * Service Drop - 1 No's * Electrical Race Way * Back Granite Supports * Filler Panels * PVC Skirting * 2 x 6/16 Amps (6 Module) Switch Sockets - 4 No's. * Data Points - 2 No's</t>
  </si>
  <si>
    <t>* 1500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Filler Panels * ABC Type fire extinguisher of 2 Kg with mounting bracket to be fixed inside the fume hood. * Pure Epoxy Scaffolding for 5' Hood * EMERGENCY STOP BUTTON * PVC Skirting</t>
  </si>
  <si>
    <t>* ( 4253+750 ) x 900 x 750 mm (W D H) * GPSP with Powder Coating * Black Granite Worktop * Sitting Height Under Bench Cabinets Door + Drawer 900 mm - 2 No's. * Sitting Height Under Bench Cabinets Door + Drawer 600 mm - 1 No's. * 750 mm Leg Space with openable panel - 1 No's. * 700 mm Leg Space with openable panel - 1 No's. * H-Frame Support 750 mm - 1 No's * Service Drop - 1 No's * Electrical Race Way * Back Granite Supports * Gable Leg * Filler Panels * PVC Skirting * 2 x 6/16 Amps (6 Module) Switch Sockets - 4 No's. * Data Points - 2 No's</t>
  </si>
  <si>
    <t>* 2450 x 900 x 750 mm (W D H) * GPSP with Powder Coating * Black Granite Worktop * Sitting Height Under Bench Cabinets Door + Drawer 900 mm - 2 No's. * 600 mm Leg Space with openable panel - 1 No's. * Service Drop - 1 No's * Electrical Race Way * Back Granite Supports * Finished Back Panel * Filler Panels * PVC Skirting * 2 x 6/16 Amps (6 Module) Switch Sockets - 2 No's. * Data Points - 1 No's</t>
  </si>
  <si>
    <t>Vertical Storage Cabinet</t>
  </si>
  <si>
    <t>* 900mm W x 500mm D x 2100mm H * GI with Powder Coating * Adjustable Metal Shelves</t>
  </si>
  <si>
    <t>* 750mm W x 500mm D x 2100mm H * GI with Powder Coating * Adjustable Metal Shelves</t>
  </si>
  <si>
    <t>" L " Shape Sitting Height Frame Table</t>
  </si>
  <si>
    <t>* ( 4302+3153 ) X 1050 X 750 MM ( W D H ) * GPSP with Powder Coating * Black Granite Worktop * H-Frame Structure 7455 mm - 1 No's * 600 mm wide Storage Module with One Drawer Two Shutter on Castor Cabinet - 4 No's. * Service Drop - 1 No's * Electrical Race Way * 2 x 6/16 Amps (6 Module) Switch Sockets - 12 No's. * Data Points - 6 No's</t>
  </si>
  <si>
    <t>" L " Shape Standing Height Work Bench</t>
  </si>
  <si>
    <t>* ( 2375+1180+1551 ) x 750 x 900 mm (W D H) * GPSP with Powder Coating * Black Granite Worktop * Standing Height Under Bench Cabinets Door + Drawer 900 mm - 1 No's. * Standing Height Under Bench Cabinets Door + Drawer 750 mm - 2 No's. * 750 mm Leg Space with openable panel - 1 No's. * 600 mm Leg Space with openable panel - 1 No's. * Standing Height Under Bench Corner Cabinet - 1 No. * Service Drop - 1 No's * Electrical Race Way * Back Granite Supports * Filler Panels * PVC Skirting * 2 x 6/16 Amps (6 Module) Switch Sockets - 7 No's. * Data Points - 2 No's</t>
  </si>
  <si>
    <t>* ( 2375+1180+1551 ) x 750 x 900 mm (W D H) * GPSP with Powder Coating * Black Granite Worktop * Standing Height Under Bench Cabinets Door + Drawer 900 mm - 1 No's. * Standing Height Under Bench Cabinets Door + Drawer 750 mm - 2 No's. * 750 mm Leg Space with openable panel - 1 No's. * 600 mm Leg Space with openable panel - 1 No's. * Standing Height Under Bench Corner Cabinet - 1 No. * Service Drop - 1 No's * Electrical Race Way * Back Granite Supports * Filler Panels * PVC Skirting * 2 x 6/16 Amps (6 Module) Switch Sockets - 6 No's. * Data Points - 2 No's</t>
  </si>
  <si>
    <t>*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Filler Panels * ABC Type fire extinguisher of 2 Kg with mounting bracket to be fixed inside the fume hood. * EMERGENCY STOP BUTTON * Pure Epoxy Scaffolding for 6' Hood * PVC Skirting</t>
  </si>
  <si>
    <t>* 3406 x 750 x 900 mm (W D H) * GPSP with Powder Coating * Black Granite Worktop * Granite Skirting * Standing Height Under Bench Cabinets Door + Drawer 900 mm - 2 No's. * 750 mm Leg Space with openable panel - 1 No's. * Standing Height Sink Module 750mm - 1 No's. * PP Sink - 1 No's * One Way Water Faucet with Necessary Hardware * PP Bottle Trap for Drain &amp; Sink Outlet Nipple &amp; PP Hose Pipe with Coupler * Dual Eye Washer with Pipe * Peg Board * Back Granite Supports * Filler Panels * PVC Skirting</t>
  </si>
  <si>
    <t>" L " Shape Standing Height Work Bench with Sink Unit</t>
  </si>
  <si>
    <t>* ( 2725+1180+1000 ) x 900 x 900 mm (W D H) * GPSP with Powder Coating * Black Granite Worktop * Granite Skirting * Standing Height Under Bench Cabinets Door + Drawer 900 mm - 1 No's. * Standing Height Under Bench Cabinets Door + Drawer 500 mm - 2 No's. * Standing Height Under Bench Corner Cabinet - 1 No. * 900 mm Leg Space with openable panel - 1 No's. * Standing Height Sink Module 900mm - 1 No's. * PP Sink - 1 No's * One Way Water Faucet with Necessary Hardware * Peg Board * PP Bottle Trap for Drain &amp; Sink Outlet Nipple &amp; PP Hose Pipe with Coupler * Dual Eye Washer with Pipe * Service Drop - 1 No's * Electrical Race Way * Back Granite Supports * Filler Panels * PVC Skirting * 2 x 6/16 Amps (6 Module) Switch Sockets - 5 No's.</t>
  </si>
  <si>
    <t>" U " Shape Standing Height Work Bench</t>
  </si>
  <si>
    <t>* ( 4375+1180+1000+4700 ) x 900 x 900 mm (W D H) * GPSP with Powder Coating * Black Granite Worktop * Standing Height Under Bench Cabinets Door + Drawer 900 mm - 4 No's. * Standing Height Under Bench Cabinets Door + Drawer 750 mm - 2 No's. * Standing Height Under Bench Cabinets Door + Drawer 500 mm - 2 No's. * Standing Height Under Bench Cabinets Door + Drawer 450 mm - 2 No's. * Standing Height Under Bench Corner Cabinet - 1 No. * 750 mm Leg Space with openable panel - 4 No's. * H-Frame Supports 900 mm - 1 No's * Service Drop - 1 No's * Electrical Race Way * Back Granite Supports * Finished Back Panel * Filler Panels * PVC Skirting * 2 x 6/16 Amps (6 Module) Switch Sockets - 12 No's.</t>
  </si>
  <si>
    <t>Standing Height Work Bench</t>
  </si>
  <si>
    <t>* 2606 x 900 x 900 mm (W D H) * GPSP with Powder Coating * Black Granite Worktop * Standing Height Under Bench Cabinets Door + Drawer 900 mm - 2 No's. * 750 mm Leg Space with openable panel - 1 No's. * Service Drop - 1 No's * Electrical Race Way * Back Granite Supports * Filler Panels * PVC Skirting * 2 x 6/16 Amps (6 Module) Switch Sockets - 3 No's.</t>
  </si>
  <si>
    <t>* 1370 x 750x 900 mm (W D H) * GPSP with Powder Coating * Black Granite Worktop * Standing Height Under Bench Cabinets Door + Drawer 450 mm - 1 No's. * 800 mm Leg Space with openable panel - 1 No's. * Service Drop - 1 No's * Electrical Race Way * Back Granite Supports * Gable Leg * PVC Skirting * 2 x 6/16 Amps (6 Module) Switch Sockets - 1 No's. * Data Points - 1 No's</t>
  </si>
  <si>
    <t>* 2230 x 750x 900 mm (W D H) * GPSP with Powder Coating * Black Granite Worktop * Standing Height Under Bench Cabinets Door + Drawer 900 mm - 1 No's. * Standing Height Under Bench Cabinets Door + Drawer 450 mm - 1 No's. * 750 mm Leg Space with openable panel - 1 No's. * Service Drop - 1 No's * Electrical Race Way * Back Granite Supports * Filler Panels * PVC Skirting * 2 x 6/16 Amps (6 Module) Switch Sockets - 2 No's.</t>
  </si>
  <si>
    <t>* 900 W x 500mm D x 2100mm H * GI with Powder Coated * Adjustable Metal Shelves</t>
  </si>
  <si>
    <t>* 4842 x 750 x 900 mm (W D H) * GPSP with Powder Coating * Black Granite Worktop * Granite Skirting * Standing Height Under Bench Cabinets Door + Drawer 900 mm - 2 No's. * Standing Height Under Bench Cabinets Door + Drawer 450 mm - 1 No's. * 750 mm Leg Space with openable panel - 1 No's. * Canopy Hood :-SIZE:- 900 MML X 750 MM D X 350 MMH * Standing Height Sink Module 900mm - 2 No's. * PP Sink - 2 No's * One Way Water Faucet with Necessary Hardware * Peg Board * PP Bottle Trap for Drain &amp; Sink Outlet Nipple &amp; PP Hose Pipe with Coupler * Service Drop - 1 No's * Electrical Race Way * Back Granite Supports * Filler Panels * PVC Skirting * 2 x 6/16 Amps (6 Module) Switch Sockets - 3 No's. R&amp;D Lab Furniture &amp; Accessories</t>
  </si>
  <si>
    <t>Chemical Storage Cabinet with Exhaust</t>
  </si>
  <si>
    <t>* 3701 x 750 x 900 mm (W D H) * GPSP with Powder Coating * Black Granite Worktop * Granite Skirting * Standing Height Under Bench Cabinets Door + Drawer 450 mm - 2 No's. * 900 mm Leg Space with openable panel - 1 No's. * Standing Height Sink Module 900mm - 2 No's. * PP Sink - 2 No's * One Way Water Faucet with Necessary Hardware * Peg Board * PP Bottle Trap for Drain &amp; Sink Outlet Nipple &amp; PP Hose Pipe with Coupler * Dual Eye Wah with Pipe * Service Drop - 1 No's * Electrical Race Way * Back Granite Supports * Filler Panels * PVC Skirting * 2 x 6/16 Amps (6 Module) Switch Sockets - 2 No's.</t>
  </si>
  <si>
    <t>* 2450 x 750 x 750 mm (W D H) * GPSP with Powder Coating * Black Granite Worktop * Sitting Height Under Bench Cabinets Door + Drawer 450 mm - 2 No's. * 750 mm Leg Space with openable panel - 2 No's. * Service Drop - 1 No's * Electrical Race Way * Back Granite Supports * Filler Panels * PVC Skirting * 2 x 6/16 Amps (6 Module) Switch Sockets - 4 No's. * Data Points - 4 No's</t>
  </si>
  <si>
    <t>*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t>
  </si>
  <si>
    <t>*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t>
  </si>
  <si>
    <t>*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t>
  </si>
  <si>
    <t>*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t>
  </si>
  <si>
    <t>*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t>
  </si>
  <si>
    <t>* 2400 x 950 x 2300mm (W D H) * MOC GPSP with Powder Coating * Phenolic Resin lined Interiors * 6mm Tampered Safety Glass for Sash * Light Fixture * Dished Granite Work Top 18mm with finishing * 3 Modular Cover frame with 6/16 A Switch &amp; Sockets - 6 nos * Remote Control Valves - 4 No's. * PP Cup Sink - 1 No * Bottle Trap - 1 No * Fume Hood Furring panel * EMERGENCY STOP BUTTON * PVC Skirting</t>
  </si>
  <si>
    <t>* 4475 x 1500 x 900 mm (W D H) * GPSP with Powder Coating * Black Granite Worktop * Granite Skirting * Standing Height Under Bench Cabinets Door + Drawer 900mm - 4 No's. * 900 mm Leg Space with openable panel - 4 No's. * Standing Height Sink Module 900mm - 2 No's. * PP Sink - 2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t>
  </si>
  <si>
    <t>* 1300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t>
  </si>
  <si>
    <t>* 2400 x 950 x 2300mm (W D H) * MOC GPSP with Powder Coating * Phenolic Resin lined Interiors * 6mm Tampered Safety Glass for Sash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PVC Skirting</t>
  </si>
  <si>
    <t>* Size: 1092 mm W X 457 mm D X 1651 mm H AR&amp;D Office Furniture &amp; Accessories</t>
  </si>
  <si>
    <t>TABLE TOP : 25 MM thk. Prelaminated Particle Board with 2MM PVC Edge band on all side. Table top at 750MM height from floor level. Cut-out provision for Access flap as required. UNDERSTRUCTURE : Designer MS Tapered Leg ( Hock leg ) made up of 50x75MM verticals and Horizontal Connecting member made up of 40x40MM MS pipe finished in Powder coating. Cross members made up of 40x40MM MS Section finished in Powder coating are connected to Legs with Brackets for table support. WIRE MANAGMENT : Powder coated Switch mounting box below table top. Provision of vertical duct to take out cable from floor to box. MODESTY 450 MM HT.: Metal modesty panel with laser-cut embellishments made up of 1.5MM thick CRCA finished in Powder coating ACCESS FLAP 450MM LENGTH : Special Aluminium access flap. SIDE CREDENZA : 2 Drawers &amp; 1 Filling Drawer With 2 Openable Shutter finish in 25 / 18 MM thk. Prelaminated PB Board 2MM PVC Edge band to all Exposed Area &amp; Metal Drawer with Centralized Lock F Finger groove Handles. ( SIZE : 1200 X 450 X 750 MM HT. )</t>
  </si>
  <si>
    <t>LINEAR WORKSTATION WITH 60MM MAIN &amp; 28MM RETURN PARTITION</t>
  </si>
  <si>
    <t>MAIN PARTITION : 60 MM THK Slide-in Tile Based Partition of 1200mm Ht. with powder coating finish. WIRE MANAGEMENT : One Raceway at Skirting , Second Raceway Optional - Below Table Top. FINISHES ABOVE TABLE TOP : Glass Marker / Magnetic Fabric FINISHES BELOW TABLE TOP : 9 mm Thk. Prelaminated Prelaminated Particle panel RETURN PARTITION : 28 MM THK Panel Based Partition of 1200mm Ht. with powder coating finish. FINISHES ABOVE TABLE TOP : Fabric FINISHES BELOW TABLE TOP : Prelaminated Panels PRIVACY SCREEN 450 MM ht. : 8MM thick Frosted Glass from SOS standard colour range fitted on Special D brackets TABLE TOP : 25 MM thk. Prelaminated Particle Board with 2mm PVC Edge band on all side. Table top at 750mm height from floor level. Cut-out provision for wire manger as required. GABLE END : 25 MM thk. Prelaminated Particle Board with machine pressed PVC Edge band on all side. BRACKET : Corner &amp; Cantilever bracket for worktable support finished in powder coating PVC GROMMET</t>
  </si>
  <si>
    <t>PEDESTAL : 2 Drawers &amp; 1 Filling Drawer pedestal with Castor finish in 18 MM thk. Prelaminated Particle Board Board 2MM PVC Edge band to all Exposed Area &amp; Metal Drawer with Centralized Lock with inger groove handle.</t>
  </si>
  <si>
    <t>Elan high back CHAIR for Cabins</t>
  </si>
  <si>
    <t>HIGH BACK CHAIR 1 D PU ARM SYNCRO 1P LOCKING MECHANISM60MM NY CASTOR 660MM NYLON BASEFABRIC FINISH SEATMESH BACK R&amp;D Office Furniture &amp; Accessories</t>
  </si>
  <si>
    <t>HIGH BACK CHAIR 1 D PU ARM SYNCRO 1P LOCKING MECHANISM60MM NY CASTOR 660MM NYLON BASEFABRIC FINISH SEATMESH BACK PPFRP Exhaust System &amp; Accessories</t>
  </si>
  <si>
    <t>AR&amp;D LAB PPFRP Exhaust</t>
  </si>
  <si>
    <t>3mm PP + 2mm FRP Ducting with Necessary Installation Hardware and reducers</t>
  </si>
  <si>
    <t>100 mm Dia Damper for Spot Extractors, Exhaust Storage Cabinets</t>
  </si>
  <si>
    <t>250 mm Dia Damper for Canopy Hoods</t>
  </si>
  <si>
    <t>100 mm Dia Flexible Hose with Clamps for Spot Extractors, Exhaust Storage Cabinets</t>
  </si>
  <si>
    <t>PP FRP Exhaust Blower</t>
  </si>
  <si>
    <t>* 1750 CFM</t>
  </si>
  <si>
    <t>* 2400 CFM</t>
  </si>
  <si>
    <t>* 960 CFM</t>
  </si>
  <si>
    <t>Cluster 1: Scrubber Made of 3mm PP + 2mm FRP</t>
  </si>
  <si>
    <t>Cluster 2: Scrubber Made of 3mm PP + 2mm FRP</t>
  </si>
  <si>
    <t>R&amp;D LAB PPFRP Exhaust</t>
  </si>
  <si>
    <t>* Cluster 1 &amp; 2 : 5700 CFM</t>
  </si>
  <si>
    <t>* Clusters 3,4,5,6,7,8 : 3400 CFM</t>
  </si>
  <si>
    <t>* Cluster 9 : 1100 CFM</t>
  </si>
  <si>
    <t>Cluster 1 &amp; 2 : Scrubber Made of 3mm PP + 2mm FRP</t>
  </si>
  <si>
    <t>Clusters 3,4,5,6,7,8 : Scrubber (Made of 3mm PP + 2mm FRP</t>
  </si>
  <si>
    <t>Cluster 9 : Scrubber (Made of 3mm PP + 2mm FRP</t>
  </si>
  <si>
    <t>GC - 8 No's</t>
  </si>
  <si>
    <t>1/8'' Regulator Adaptor</t>
  </si>
  <si>
    <t>Two stage Cylinders Regulator for 4 gases ( H2,N2,Air &amp; He )</t>
  </si>
  <si>
    <t>Two Cylinder high pressure Manifolds for 4 gases ( H2,N2,Air &amp; He )</t>
  </si>
  <si>
    <t>For LCMS - 1 No's</t>
  </si>
  <si>
    <t>Nitrogen Line For Fume Hoods - 38 No's</t>
  </si>
  <si>
    <t>Raw Water for Fume Hoods - 38 nos., Sinks - 25 nos. &amp; Eye Washers - 23 nos.</t>
  </si>
  <si>
    <t>Anchor fatner for cealing support with nuts MS angular support for clamps PP Clamps for Pipe &amp; Tube Support Studrods for celing supports Washers and check nuts for gas line support rods Supply &amp; Installation for Process Drainage System and Accessories</t>
  </si>
  <si>
    <t>Supply of HDPE Pipe Complete with necessary slope and fittings specials like flanges, end cap, bends, collar, Equal Tee, Reducing Tee, Y- type Tee, gaskets, bolts, nuts, washers, unions, heat welding,etc.The rate quoted shall include for necessary pipe clamps &amp; supports (including required size of anchor fasteners type, Threaded Rods, " U " Clamp &amp; Universal GI clamps with necessary bolts, washer and nuts etc.) to be considered for all sizes of every 1 mts distance.</t>
  </si>
  <si>
    <t>Matt finish) Double Sealwith Bottom Discharge Drain Trap. Confirming to Pharamceutical Grade.
Drain trap fabricated with 1.6mm sheet, consist of 1 Nos Perforated plate, Removable 2 Nos Seal with sislicon Gasket, Covering Lid of 2mm Thick to be provided for Drain trap.
Installtion included Core cutting In slab, Sealing of Core cut Gap with Water proofing element.
Size : Drain Trapas per site conditions with Outlet size 50 mm</t>
  </si>
  <si>
    <t>Grand Total</t>
  </si>
  <si>
    <t>Sum Supply</t>
  </si>
  <si>
    <t>Sum Service</t>
  </si>
  <si>
    <t xml:space="preserve">Supply </t>
  </si>
  <si>
    <t xml:space="preserve">Service </t>
  </si>
  <si>
    <t>NEW OP</t>
  </si>
  <si>
    <t>NEW NT PO</t>
  </si>
  <si>
    <t>EDIT PO</t>
  </si>
  <si>
    <t>REQUEST INV</t>
  </si>
  <si>
    <t>EDIT INV</t>
  </si>
  <si>
    <t>REPORTS</t>
  </si>
  <si>
    <t>For New PO</t>
  </si>
  <si>
    <t>Select Customer</t>
  </si>
  <si>
    <t>Select Location</t>
  </si>
  <si>
    <t>Enter PO #</t>
  </si>
  <si>
    <t>Drop Down</t>
  </si>
  <si>
    <t>Manual Entry</t>
  </si>
  <si>
    <t>Date of PO</t>
  </si>
  <si>
    <t>Start Date</t>
  </si>
  <si>
    <t>End Date</t>
  </si>
  <si>
    <t>For NT PO</t>
  </si>
  <si>
    <t>Select Original PO</t>
  </si>
  <si>
    <t>Fetched</t>
  </si>
  <si>
    <t>Temp PO</t>
  </si>
  <si>
    <t>System Generated with a Suffix to PO</t>
  </si>
  <si>
    <t>For EDIT PO</t>
  </si>
  <si>
    <t>Select PO</t>
  </si>
  <si>
    <t>Either Original or Temp PO - Dependent List</t>
  </si>
  <si>
    <t>Dsiplays the Selected PO with all Details that can be Edited</t>
  </si>
  <si>
    <t>Editable Fields</t>
  </si>
  <si>
    <t>QTY</t>
  </si>
  <si>
    <t>RATE</t>
  </si>
  <si>
    <t>GST Rate</t>
  </si>
  <si>
    <t>Delete Line Item</t>
  </si>
  <si>
    <t>NOTE: Adding New Line Item has to be done through the NT PO</t>
  </si>
  <si>
    <t>Sample EDIT Field List</t>
  </si>
  <si>
    <t>Sl no</t>
  </si>
  <si>
    <t>Original</t>
  </si>
  <si>
    <t>Heading</t>
  </si>
  <si>
    <t xml:space="preserve">Item </t>
  </si>
  <si>
    <t>Rate</t>
  </si>
  <si>
    <t>UOM
Supply</t>
  </si>
  <si>
    <t>Qty 
Supply</t>
  </si>
  <si>
    <t>Rate 
Supply</t>
  </si>
  <si>
    <t>GST Rate
Supply</t>
  </si>
  <si>
    <t>UOM
Service</t>
  </si>
  <si>
    <t>Qty 
Service</t>
  </si>
  <si>
    <t>Rate 
Service</t>
  </si>
  <si>
    <t>GST Rate
Service</t>
  </si>
  <si>
    <t>HVAC</t>
  </si>
  <si>
    <t>Air Condition</t>
  </si>
  <si>
    <t>Slipt AC</t>
  </si>
  <si>
    <t xml:space="preserve">2 ton Split Ac </t>
  </si>
  <si>
    <t xml:space="preserve">Copper pipe, </t>
  </si>
  <si>
    <t>EDIT</t>
  </si>
  <si>
    <t>REVISED</t>
  </si>
  <si>
    <t>FF</t>
  </si>
  <si>
    <t>Furniture</t>
  </si>
  <si>
    <t>Tables</t>
  </si>
  <si>
    <t>36' Desk</t>
  </si>
  <si>
    <t>Wodeed</t>
  </si>
  <si>
    <t>NOs</t>
  </si>
  <si>
    <t>Summary</t>
  </si>
  <si>
    <t>Supply</t>
  </si>
  <si>
    <t>Service</t>
  </si>
  <si>
    <t>Total</t>
  </si>
  <si>
    <t>Revised</t>
  </si>
  <si>
    <t>DELTA</t>
  </si>
  <si>
    <t>GST</t>
  </si>
  <si>
    <t xml:space="preserve">Qty </t>
  </si>
  <si>
    <t>GSt</t>
  </si>
  <si>
    <t>Change</t>
  </si>
  <si>
    <t>Origanl Val</t>
  </si>
  <si>
    <t>Alternative 1 for EDIT</t>
  </si>
  <si>
    <t>Alternative 2 for EDIT</t>
  </si>
  <si>
    <t xml:space="preserve">Net Change </t>
  </si>
  <si>
    <t>DELETE THIS LINE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</si>
</sst>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00_);_(* \(#,##0.00\);_(* &quot;-&quot;??_);_(@_)"/>
  </numFmts>
  <fonts count="10" x14ac:knownFonts="1">
    <font>
      <sz val="11"/>
      <color theme="1"/>
      <name val="Calibri"/>
      <family val="2"/>
      <scheme val="minor"/>
    </font>
    <font>
      <b/>
      <sz val="11"/>
      <color theme="1"/>
      <name val="Calibri"/>
      <family val="2"/>
      <scheme val="minor"/>
    </font>
    <font>
      <sz val="11"/>
      <color rgb="FF000000"/>
      <name val="Calibri"/>
      <family val="2"/>
    </font>
    <font>
      <sz val="11"/>
      <color theme="1"/>
      <name val="Calibri"/>
      <family val="2"/>
      <scheme val="minor"/>
    </font>
    <font>
      <sz val="10"/>
      <color rgb="FF000000"/>
      <name val="Arial"/>
      <family val="2"/>
    </font>
    <font>
      <sz val="10"/>
      <name val="Arial"/>
      <family val="2"/>
    </font>
    <font>
      <sz val="10"/>
      <color rgb="FF000000"/>
      <name val="Times New Roman"/>
      <family val="1"/>
    </font>
    <font>
      <sz val="11"/>
      <color theme="0"/>
      <name val="Calibri"/>
      <family val="2"/>
      <scheme val="minor"/>
    </font>
    <font>
      <b/>
      <u/>
      <sz val="11"/>
      <color theme="1"/>
      <name val="Calibri"/>
      <family val="2"/>
      <scheme val="minor"/>
    </font>
    <font>
      <u/>
      <sz val="11"/>
      <color theme="1"/>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4" tint="-0.249977111117893"/>
        <bgColor indexed="64"/>
      </patternFill>
    </fill>
  </fills>
  <borders count="12">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s>
  <cellStyleXfs count="14">
    <xf numFmtId="0" fontId="0" fillId="0" borderId="0"/>
    <xf numFmtId="0" fontId="4" fillId="0" borderId="0"/>
    <xf numFmtId="164" fontId="3" fillId="0" borderId="0" applyFont="0" applyFill="0" applyBorder="0" applyAlignment="0" applyProtection="0"/>
    <xf numFmtId="164" fontId="3" fillId="0" borderId="0" applyFont="0" applyFill="0" applyBorder="0" applyAlignment="0" applyProtection="0"/>
    <xf numFmtId="0" fontId="5" fillId="0" borderId="0"/>
    <xf numFmtId="164" fontId="5" fillId="0" borderId="0" applyFont="0" applyFill="0" applyBorder="0" applyAlignment="0" applyProtection="0"/>
    <xf numFmtId="0" fontId="6" fillId="0" borderId="0"/>
    <xf numFmtId="164" fontId="3"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0" fontId="5" fillId="0" borderId="0"/>
    <xf numFmtId="0" fontId="6" fillId="0" borderId="0"/>
    <xf numFmtId="0" fontId="6" fillId="0" borderId="0"/>
  </cellStyleXfs>
  <cellXfs count="43">
    <xf numFmtId="0" fontId="0" fillId="0" borderId="0" xfId="0"/>
    <xf numFmtId="0" fontId="1" fillId="2" borderId="0" xfId="0" applyFont="1" applyFill="1" applyAlignment="1">
      <alignment horizontal="center" vertical="center"/>
    </xf>
    <xf numFmtId="0" fontId="1" fillId="2" borderId="0" xfId="0" applyFont="1" applyFill="1" applyAlignment="1">
      <alignment horizontal="center" vertical="center" wrapText="1"/>
    </xf>
    <xf numFmtId="0" fontId="0" fillId="0" borderId="0" xfId="0" applyAlignment="1">
      <alignment wrapText="1"/>
    </xf>
    <xf numFmtId="3" fontId="0" fillId="0" borderId="0" xfId="0" applyNumberFormat="1"/>
    <xf numFmtId="0" fontId="1" fillId="0" borderId="0" xfId="0" applyFont="1" applyAlignment="1">
      <alignment vertical="top"/>
    </xf>
    <xf numFmtId="3" fontId="1" fillId="0" borderId="0" xfId="0" applyNumberFormat="1" applyFont="1" applyAlignment="1">
      <alignment vertical="top"/>
    </xf>
    <xf numFmtId="0" fontId="0" fillId="0" borderId="0" xfId="0" applyAlignment="1">
      <alignment vertical="top"/>
    </xf>
    <xf numFmtId="3" fontId="0" fillId="0" borderId="0" xfId="0" applyNumberFormat="1" applyAlignment="1">
      <alignment vertical="top"/>
    </xf>
    <xf numFmtId="0" fontId="0" fillId="0" borderId="0" xfId="0" applyAlignment="1">
      <alignment vertical="top" wrapText="1"/>
    </xf>
    <xf numFmtId="0" fontId="0" fillId="0" borderId="0" xfId="0" pivotButton="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0" xfId="0" applyBorder="1"/>
    <xf numFmtId="0" fontId="0" fillId="0" borderId="11" xfId="0" applyBorder="1"/>
    <xf numFmtId="0" fontId="0" fillId="3" borderId="0" xfId="0" applyFill="1" applyBorder="1"/>
    <xf numFmtId="0" fontId="0" fillId="0" borderId="0" xfId="0" applyFill="1" applyBorder="1"/>
    <xf numFmtId="0" fontId="0" fillId="4" borderId="1" xfId="0" applyFill="1" applyBorder="1"/>
    <xf numFmtId="0" fontId="0" fillId="4" borderId="2" xfId="0" applyFill="1" applyBorder="1"/>
    <xf numFmtId="0" fontId="0" fillId="4" borderId="3" xfId="0" applyFill="1" applyBorder="1"/>
    <xf numFmtId="0" fontId="8" fillId="0" borderId="0" xfId="0" applyFont="1" applyFill="1" applyBorder="1"/>
    <xf numFmtId="0" fontId="9" fillId="0" borderId="0" xfId="0" applyFont="1"/>
    <xf numFmtId="9" fontId="0" fillId="0" borderId="0" xfId="0" applyNumberFormat="1"/>
    <xf numFmtId="0" fontId="0" fillId="5" borderId="0" xfId="0" applyFill="1" applyBorder="1"/>
    <xf numFmtId="0" fontId="0" fillId="5" borderId="11" xfId="0" applyFill="1" applyBorder="1"/>
    <xf numFmtId="0" fontId="0" fillId="6" borderId="0" xfId="0" applyFill="1" applyBorder="1"/>
    <xf numFmtId="0" fontId="0" fillId="6" borderId="11" xfId="0" applyFill="1" applyBorder="1"/>
    <xf numFmtId="0" fontId="0" fillId="7" borderId="0" xfId="0" applyFill="1" applyBorder="1"/>
    <xf numFmtId="9" fontId="0" fillId="7" borderId="0" xfId="0" applyNumberFormat="1" applyFill="1" applyBorder="1"/>
    <xf numFmtId="9" fontId="0" fillId="7" borderId="11" xfId="0" applyNumberFormat="1" applyFill="1" applyBorder="1"/>
    <xf numFmtId="0" fontId="0" fillId="4" borderId="5" xfId="0" applyFill="1" applyBorder="1"/>
    <xf numFmtId="0" fontId="0" fillId="4" borderId="6" xfId="0" applyFill="1" applyBorder="1"/>
    <xf numFmtId="0" fontId="7" fillId="8" borderId="7" xfId="0" applyFont="1" applyFill="1" applyBorder="1" applyAlignment="1">
      <alignment horizontal="center"/>
    </xf>
    <xf numFmtId="0" fontId="7" fillId="8" borderId="8" xfId="0" applyFont="1" applyFill="1" applyBorder="1" applyAlignment="1">
      <alignment horizontal="center"/>
    </xf>
    <xf numFmtId="0" fontId="7" fillId="8" borderId="9" xfId="0" applyFont="1" applyFill="1" applyBorder="1" applyAlignment="1">
      <alignment horizontal="center"/>
    </xf>
  </cellXfs>
  <cellStyles count="14">
    <cellStyle name="Comma 12 3 2 3" xfId="2" xr:uid="{6B4BFF29-8CDD-4E5F-9B39-C8F7071306BE}"/>
    <cellStyle name="Comma 2" xfId="7" xr:uid="{F73645D0-03DD-419A-822E-82E463845B97}"/>
    <cellStyle name="Comma 3 3 11 2" xfId="5" xr:uid="{9F17E3CD-DD8A-4CB0-8DDB-77E50282B1F1}"/>
    <cellStyle name="Comma 49 3" xfId="3" xr:uid="{8477A2BB-5349-4C54-A044-CC2AF0826AED}"/>
    <cellStyle name="Comma 9 2 5" xfId="9" xr:uid="{8D564233-A343-46A2-9006-A737E1871E3E}"/>
    <cellStyle name="Normal" xfId="0" builtinId="0"/>
    <cellStyle name="Normal 100" xfId="13" xr:uid="{453FD38C-25DB-446A-BDC7-01B194D6C6D0}"/>
    <cellStyle name="Normal 168" xfId="6" xr:uid="{C6F22D60-C611-41B7-85B4-DECF7CF75460}"/>
    <cellStyle name="Normal 2 2 2 2" xfId="11" xr:uid="{44D124F4-D9BA-4D99-9AC5-7D6FD1CB3B1E}"/>
    <cellStyle name="Normal 2 3 2 2 13" xfId="12" xr:uid="{C7AC83B1-DBF0-42FE-98EA-969D52023066}"/>
    <cellStyle name="Normal 2 4 15" xfId="8" xr:uid="{B2D1F6F8-8010-452C-AD5A-451FBF8421AC}"/>
    <cellStyle name="Normal 2 4 2 13" xfId="10" xr:uid="{21012E29-A109-4F9E-9035-6E91FF83AE8B}"/>
    <cellStyle name="Normal 4 10 6" xfId="4" xr:uid="{67BB28D9-A908-46FA-B8DD-3ED45AD71987}"/>
    <cellStyle name="Normal 5 2" xfId="1" xr:uid="{561594B0-402A-4E5F-BFD9-35422F842190}"/>
  </cellStyles>
  <dxfs count="2">
    <dxf>
      <numFmt numFmtId="3" formatCode="#,##0"/>
    </dxf>
    <dxf>
      <numFmt numFmtId="3"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0</xdr:row>
          <xdr:rowOff>16329</xdr:rowOff>
        </xdr:from>
        <xdr:to>
          <xdr:col>8</xdr:col>
          <xdr:colOff>620486</xdr:colOff>
          <xdr:row>0</xdr:row>
          <xdr:rowOff>288471</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Clean PO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326572</xdr:colOff>
      <xdr:row>17</xdr:row>
      <xdr:rowOff>97972</xdr:rowOff>
    </xdr:from>
    <xdr:to>
      <xdr:col>13</xdr:col>
      <xdr:colOff>119743</xdr:colOff>
      <xdr:row>19</xdr:row>
      <xdr:rowOff>43543</xdr:rowOff>
    </xdr:to>
    <xdr:sp macro="" textlink="">
      <xdr:nvSpPr>
        <xdr:cNvPr id="2" name="Rectangle: Rounded Corners 1">
          <a:extLst>
            <a:ext uri="{FF2B5EF4-FFF2-40B4-BE49-F238E27FC236}">
              <a16:creationId xmlns:a16="http://schemas.microsoft.com/office/drawing/2014/main" id="{39F638C0-CDE2-9714-5745-81B5EFB6E401}"/>
            </a:ext>
          </a:extLst>
        </xdr:cNvPr>
        <xdr:cNvSpPr/>
      </xdr:nvSpPr>
      <xdr:spPr>
        <a:xfrm>
          <a:off x="9078686" y="3243943"/>
          <a:ext cx="1099457"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NEXT	</a:t>
          </a:r>
        </a:p>
      </xdr:txBody>
    </xdr:sp>
    <xdr:clientData/>
  </xdr:twoCellAnchor>
  <xdr:twoCellAnchor>
    <xdr:from>
      <xdr:col>10</xdr:col>
      <xdr:colOff>108858</xdr:colOff>
      <xdr:row>21</xdr:row>
      <xdr:rowOff>97972</xdr:rowOff>
    </xdr:from>
    <xdr:to>
      <xdr:col>12</xdr:col>
      <xdr:colOff>544286</xdr:colOff>
      <xdr:row>23</xdr:row>
      <xdr:rowOff>43544</xdr:rowOff>
    </xdr:to>
    <xdr:sp macro="" textlink="">
      <xdr:nvSpPr>
        <xdr:cNvPr id="3" name="Rectangle: Rounded Corners 2">
          <a:extLst>
            <a:ext uri="{FF2B5EF4-FFF2-40B4-BE49-F238E27FC236}">
              <a16:creationId xmlns:a16="http://schemas.microsoft.com/office/drawing/2014/main" id="{80790793-12EF-46F7-ADF6-2BBCB0A84EE5}"/>
            </a:ext>
          </a:extLst>
        </xdr:cNvPr>
        <xdr:cNvSpPr/>
      </xdr:nvSpPr>
      <xdr:spPr>
        <a:xfrm>
          <a:off x="8207829" y="3984172"/>
          <a:ext cx="1741714"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Enter Details directly</a:t>
          </a:r>
        </a:p>
        <a:p>
          <a:pPr algn="l"/>
          <a:endParaRPr lang="en-IN" sz="1100"/>
        </a:p>
      </xdr:txBody>
    </xdr:sp>
    <xdr:clientData/>
  </xdr:twoCellAnchor>
  <xdr:twoCellAnchor>
    <xdr:from>
      <xdr:col>6</xdr:col>
      <xdr:colOff>615043</xdr:colOff>
      <xdr:row>21</xdr:row>
      <xdr:rowOff>114300</xdr:rowOff>
    </xdr:from>
    <xdr:to>
      <xdr:col>8</xdr:col>
      <xdr:colOff>408214</xdr:colOff>
      <xdr:row>23</xdr:row>
      <xdr:rowOff>59872</xdr:rowOff>
    </xdr:to>
    <xdr:sp macro="" textlink="">
      <xdr:nvSpPr>
        <xdr:cNvPr id="4" name="Rectangle: Rounded Corners 3">
          <a:extLst>
            <a:ext uri="{FF2B5EF4-FFF2-40B4-BE49-F238E27FC236}">
              <a16:creationId xmlns:a16="http://schemas.microsoft.com/office/drawing/2014/main" id="{121A22EC-A5E4-49C4-9A69-C1039CF17F52}"/>
            </a:ext>
          </a:extLst>
        </xdr:cNvPr>
        <xdr:cNvSpPr/>
      </xdr:nvSpPr>
      <xdr:spPr>
        <a:xfrm>
          <a:off x="6101443" y="4000500"/>
          <a:ext cx="1099457"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UPload File</a:t>
          </a:r>
        </a:p>
      </xdr:txBody>
    </xdr:sp>
    <xdr:clientData/>
  </xdr:twoCellAnchor>
  <xdr:twoCellAnchor>
    <xdr:from>
      <xdr:col>20</xdr:col>
      <xdr:colOff>48986</xdr:colOff>
      <xdr:row>19</xdr:row>
      <xdr:rowOff>21771</xdr:rowOff>
    </xdr:from>
    <xdr:to>
      <xdr:col>21</xdr:col>
      <xdr:colOff>495300</xdr:colOff>
      <xdr:row>20</xdr:row>
      <xdr:rowOff>152400</xdr:rowOff>
    </xdr:to>
    <xdr:sp macro="" textlink="">
      <xdr:nvSpPr>
        <xdr:cNvPr id="5" name="Rectangle: Rounded Corners 4">
          <a:extLst>
            <a:ext uri="{FF2B5EF4-FFF2-40B4-BE49-F238E27FC236}">
              <a16:creationId xmlns:a16="http://schemas.microsoft.com/office/drawing/2014/main" id="{2BBC1FC7-4606-4CBD-A739-311A9CC0CD61}"/>
            </a:ext>
          </a:extLst>
        </xdr:cNvPr>
        <xdr:cNvSpPr/>
      </xdr:nvSpPr>
      <xdr:spPr>
        <a:xfrm>
          <a:off x="14679386" y="3537857"/>
          <a:ext cx="1099457"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NEXT	</a:t>
          </a:r>
        </a:p>
      </xdr:txBody>
    </xdr:sp>
    <xdr:clientData/>
  </xdr:twoCellAnchor>
  <xdr:twoCellAnchor>
    <xdr:from>
      <xdr:col>19</xdr:col>
      <xdr:colOff>5443</xdr:colOff>
      <xdr:row>22</xdr:row>
      <xdr:rowOff>174172</xdr:rowOff>
    </xdr:from>
    <xdr:to>
      <xdr:col>21</xdr:col>
      <xdr:colOff>440871</xdr:colOff>
      <xdr:row>24</xdr:row>
      <xdr:rowOff>119744</xdr:rowOff>
    </xdr:to>
    <xdr:sp macro="" textlink="">
      <xdr:nvSpPr>
        <xdr:cNvPr id="6" name="Rectangle: Rounded Corners 5">
          <a:extLst>
            <a:ext uri="{FF2B5EF4-FFF2-40B4-BE49-F238E27FC236}">
              <a16:creationId xmlns:a16="http://schemas.microsoft.com/office/drawing/2014/main" id="{8627713C-341D-49EE-9F27-FB88EB1948A4}"/>
            </a:ext>
          </a:extLst>
        </xdr:cNvPr>
        <xdr:cNvSpPr/>
      </xdr:nvSpPr>
      <xdr:spPr>
        <a:xfrm>
          <a:off x="13982700" y="4245429"/>
          <a:ext cx="1741714"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Enter Details directly</a:t>
          </a:r>
        </a:p>
        <a:p>
          <a:pPr algn="l"/>
          <a:endParaRPr lang="en-IN" sz="1100"/>
        </a:p>
      </xdr:txBody>
    </xdr:sp>
    <xdr:clientData/>
  </xdr:twoCellAnchor>
  <xdr:twoCellAnchor>
    <xdr:from>
      <xdr:col>15</xdr:col>
      <xdr:colOff>511628</xdr:colOff>
      <xdr:row>23</xdr:row>
      <xdr:rowOff>5443</xdr:rowOff>
    </xdr:from>
    <xdr:to>
      <xdr:col>17</xdr:col>
      <xdr:colOff>304800</xdr:colOff>
      <xdr:row>24</xdr:row>
      <xdr:rowOff>136072</xdr:rowOff>
    </xdr:to>
    <xdr:sp macro="" textlink="">
      <xdr:nvSpPr>
        <xdr:cNvPr id="7" name="Rectangle: Rounded Corners 6">
          <a:extLst>
            <a:ext uri="{FF2B5EF4-FFF2-40B4-BE49-F238E27FC236}">
              <a16:creationId xmlns:a16="http://schemas.microsoft.com/office/drawing/2014/main" id="{08F9ED68-5EFF-4148-B2E7-F6B52FB428C4}"/>
            </a:ext>
          </a:extLst>
        </xdr:cNvPr>
        <xdr:cNvSpPr/>
      </xdr:nvSpPr>
      <xdr:spPr>
        <a:xfrm>
          <a:off x="11876314" y="4261757"/>
          <a:ext cx="1099457"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UPload File</a:t>
          </a:r>
        </a:p>
      </xdr:txBody>
    </xdr:sp>
    <xdr:clientData/>
  </xdr:twoCellAnchor>
  <xdr:twoCellAnchor>
    <xdr:from>
      <xdr:col>29</xdr:col>
      <xdr:colOff>239486</xdr:colOff>
      <xdr:row>13</xdr:row>
      <xdr:rowOff>0</xdr:rowOff>
    </xdr:from>
    <xdr:to>
      <xdr:col>31</xdr:col>
      <xdr:colOff>32658</xdr:colOff>
      <xdr:row>14</xdr:row>
      <xdr:rowOff>130629</xdr:rowOff>
    </xdr:to>
    <xdr:sp macro="" textlink="">
      <xdr:nvSpPr>
        <xdr:cNvPr id="8" name="Rectangle: Rounded Corners 7">
          <a:extLst>
            <a:ext uri="{FF2B5EF4-FFF2-40B4-BE49-F238E27FC236}">
              <a16:creationId xmlns:a16="http://schemas.microsoft.com/office/drawing/2014/main" id="{DADA3FC9-F27B-47F3-B027-96D788D2C531}"/>
            </a:ext>
          </a:extLst>
        </xdr:cNvPr>
        <xdr:cNvSpPr/>
      </xdr:nvSpPr>
      <xdr:spPr>
        <a:xfrm>
          <a:off x="20748172" y="2405743"/>
          <a:ext cx="1099457" cy="3156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NEXT	</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nohar Nimmana" refreshedDate="46144.65342962963" createdVersion="8" refreshedVersion="8" minRefreshableVersion="3" recordCount="164" xr:uid="{EC602179-718C-4C09-842E-68E937B4C991}">
  <cacheSource type="worksheet">
    <worksheetSource ref="A1:K165" sheet="Transformed PO"/>
  </cacheSource>
  <cacheFields count="12">
    <cacheField name="S.No" numFmtId="0">
      <sharedItems containsMixedTypes="1" containsNumber="1" minValue="1" maxValue="19.100000000000001"/>
    </cacheField>
    <cacheField name="Package" numFmtId="0">
      <sharedItems count="6">
        <s v=" AR&amp;D LF"/>
        <s v=" R&amp;D LF"/>
        <s v="Office Furniture"/>
        <s v="PPFRP Exhaust"/>
        <s v="GDS"/>
        <s v="Drainage System"/>
      </sharedItems>
    </cacheField>
    <cacheField name="Sub Heading" numFmtId="0">
      <sharedItems count="38" longText="1">
        <s v="HPLC ROOM"/>
        <s v="HPLC PREP"/>
        <s v="GC"/>
        <s v="GC PREP"/>
        <s v="GCMS"/>
        <s v="CHEMICAL STORE"/>
        <s v="DOCUMENTATION &amp; DOCUMENT STORE"/>
        <s v="GLASSWARE STORE"/>
        <s v="LCMS"/>
        <s v="IR ROOM 1"/>
        <s v="ROOM 3"/>
        <s v="MALVERN/PSD ROOM-4"/>
        <s v="HOT ROOM"/>
        <s v="WET CHEMISTRY"/>
        <s v="FREEZERS/HOT EQUIPMENT ROOM"/>
        <s v="STABILITY"/>
        <s v="NMR"/>
        <s v="GENERAL STORE"/>
        <s v="WASHING ROOM"/>
        <s v="SOLVENT"/>
        <s v="WASH AREA"/>
        <s v="LAB-01"/>
        <s v="LAB-02"/>
        <s v="LAB-03"/>
        <s v="LAB-04"/>
        <s v="LAB-05"/>
        <s v="LAB-06"/>
        <s v="KILO LAB-01"/>
        <s v="AR&amp;D LAB PPFRP Exhaust"/>
        <s v="PP FRP Exhaust Blower"/>
        <s v="* FRP Impeller with vibration isolator"/>
        <s v="* 1750 CFM_x000a_* Inlet &amp; Outlet Nozzles, _x000a_* Over Flow_x000a_* Water Inlet_x000a_* Water tube Level Indicator_x000a_* Inspection Door_x000a_* PP Pall Rings Packing_x000a_* Mist Eliminator_x000a_* Spray Nozzles_x000a_* Recirculation Pump _x000a_* Drain Port with Valve"/>
        <s v="R&amp;D LAB PPFRP Exhaust"/>
        <s v="* 5700 CFM_x000a_* Inlet &amp; Outlet Nozzles, _x000a_* Over Flow_x000a_* Water Inlet_x000a_* Water tube Level Indicator_x000a_* Inspection Door_x000a_* PP Pall Rings Packing_x000a_* Mist Eliminator_x000a_* Spray Nozzles_x000a_* Recirculation Pump _x000a_* Drain Port with Valve"/>
        <s v="* 3400 CFM_x000a_* Inlet &amp; Outlet Nozzles, _x000a_* Over Flow_x000a_* Water Inlet_x000a_* Water tube Level Indicator_x000a_* Inspection Door_x000a_* PP Pall Rings Packing_x000a_* Mist Eliminator_x000a_* Spray Nozzles_x000a_* Recirculation Pump _x000a_* Drain Port with Valve"/>
        <s v="GC - 8 No's"/>
        <s v="For LCMS - 1 No's"/>
        <s v="Supply of HDPE Pipe Complete with necessary slope and fittings specials like flanges, end cap, bends, collar, Equal Tee, Reducing Tee, Y- type Tee, gaskets, bolts, nuts, washers, unions, heat welding,etc.The rate quoted shall include for necessary pipe clamps &amp; supports (including required size of anchor fasteners type, Threaded Rods, &quot; U &quot; Clamp &amp; Universal GI clamps with necessary bolts, washer and nuts etc.) to be considered for all sizes of every 1 mts distance."/>
      </sharedItems>
    </cacheField>
    <cacheField name="Item Heading" numFmtId="0">
      <sharedItems longText="1"/>
    </cacheField>
    <cacheField name="Description" numFmtId="0">
      <sharedItems containsBlank="1" longText="1"/>
    </cacheField>
    <cacheField name="Qty" numFmtId="0">
      <sharedItems containsSemiMixedTypes="0" containsString="0" containsNumber="1" containsInteger="1" minValue="1" maxValue="600"/>
    </cacheField>
    <cacheField name="Units" numFmtId="0">
      <sharedItems containsBlank="1"/>
    </cacheField>
    <cacheField name="Rate (Sup)" numFmtId="3">
      <sharedItems containsSemiMixedTypes="0" containsString="0" containsNumber="1" containsInteger="1" minValue="62" maxValue="1071600"/>
    </cacheField>
    <cacheField name="Amount (Sup)" numFmtId="3">
      <sharedItems containsSemiMixedTypes="0" containsString="0" containsNumber="1" containsInteger="1" minValue="351" maxValue="1669800"/>
    </cacheField>
    <cacheField name="Rate (Ser)" numFmtId="3">
      <sharedItems containsNonDate="0" containsString="0" containsBlank="1"/>
    </cacheField>
    <cacheField name="Amount (Ser)" numFmtId="3">
      <sharedItems containsNonDate="0" containsString="0" containsBlank="1"/>
    </cacheField>
    <cacheField name="Total" numFmtId="0" formula="'Amount (Sup)'+'Amount (Ser)'"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4">
  <r>
    <n v="1.1000000000000001"/>
    <x v="0"/>
    <x v="0"/>
    <s v="Sitting Height Work Bench"/>
    <s v="* 7544 x 900 x 750 mm (W D H) * GPSP with Powder Coating * Black Granite Worktop * Sitting Height Under Bench Cabinets Door + Drawer 900 mm - 5 No's. * 750 mm Leg Space with openable panel - 3 No's. * 600 mm Leg Space with openable panel - 1 No's. * Service Drop - 1 No's * Electrical Race Way * Back Granite Supports * Filler Panels * PVC Skirting * 2 x 6/16 Amps (6 Module) Switch Sockets - 12 No's. * Data Points - 4 No's"/>
    <n v="1"/>
    <s v="No's."/>
    <n v="123356"/>
    <n v="123356"/>
    <m/>
    <m/>
  </r>
  <r>
    <n v="1.2"/>
    <x v="0"/>
    <x v="0"/>
    <s v="Sitting Height Island Work Bench"/>
    <s v="* 5900 x 1800 x 750 mm (W D H) * GPSP with Powder Coating * Black Granite Worktop * Sitting Height Under Bench Cabinets Door + Drawer 900mm - 8 No's. * 750 mm Leg Space with openable panel - 6 No's. * Island Middle Frame * Service Drop - 1 No's * Electrical Raceway * Islandbench End Close Panel * PVC Skirting * 2 x 6/16 Amps (6 Module) Switch Sockets - 18 No's. * Data Points - 6 No's"/>
    <n v="2"/>
    <s v="No's."/>
    <n v="203049"/>
    <n v="406098"/>
    <m/>
    <m/>
  </r>
  <r>
    <n v="1.3"/>
    <x v="0"/>
    <x v="0"/>
    <s v="Sitting Height Work Bench"/>
    <s v="* 5900 x 900 x 750 mm (W D H) * GPSP with Powder Coating * Black Granite Worktop * Sitting Height Under Bench Cabinets Door + Drawer 900 mm - 4 No's. * 750 mm Leg Space with openable panel - 3 No's. * Service Drop - 1 No's * Electrical Race Way * Back Granite Supports * Filler Panels * PVC Skirting * 2 x 6/16 Amps (6 Module) Switch Sockets - 9 No's. * Data Points - 3 No's"/>
    <n v="1"/>
    <s v="No's."/>
    <n v="97708"/>
    <n v="97708"/>
    <m/>
    <m/>
  </r>
  <r>
    <n v="2.1"/>
    <x v="0"/>
    <x v="1"/>
    <s v="Standing Height Anti-Vibration Table with Enclosure"/>
    <s v="* 900mm W x 750 mm D x 900mm H * GI with Powder Coating * Black Granite Worktop * 2 x 6/16 Amps (6 Module) Switch Sockets - 1 No's."/>
    <n v="2"/>
    <s v="No's."/>
    <n v="46900"/>
    <n v="93800"/>
    <m/>
    <m/>
  </r>
  <r>
    <n v="2.2000000000000002"/>
    <x v="0"/>
    <x v="1"/>
    <s v="Standing Height Work Bench with Sink Unit"/>
    <s v="* 5150 x 900 x 900 mm (W D H) * GPSP with Powder Coating * Black Granite Worktop * Granite Skirting * Standing Height Under Bench Cabinets Door + Drawer 900 mm - 3 No's. * 750 mm Leg Space with openable panel - 2 No's. * Standing Height Sink Module 900mm - 1 No's. * PP Sink - 1 No's * 3 Way Water Faucet with Necessary Hardware * PP Bottle Trap for Drain &amp; Sink Outlet Nipple &amp; PP Hose Pipe with Coupler * Dual Eye Washer with Pipe * Service Drop - 1 No's * Electrical Race Way * Back Granite Supports * Filler Panels * PVC Skirting * 2 x 6/16 Amps (6 Module) Switch Sockets - 7 No's. * Data Points - 2 No's"/>
    <n v="1"/>
    <s v="No's."/>
    <n v="100607"/>
    <n v="100607"/>
    <m/>
    <m/>
  </r>
  <r>
    <n v="2.2999999999999998"/>
    <x v="0"/>
    <x v="1"/>
    <s v="Spot Extractor with Ceiling Mount Bracket"/>
    <m/>
    <n v="2"/>
    <s v="No's."/>
    <n v="14375"/>
    <n v="28750"/>
    <m/>
    <m/>
  </r>
  <r>
    <n v="3.1"/>
    <x v="0"/>
    <x v="2"/>
    <s v="&quot; L &quot; Shape Sitting Height Work Bench"/>
    <s v="* ( 6350+2630 ) x 900 x 750 mm (W D H) * GPSP with Powder Coating * Black Granite Worktop * Sitting Height Under Bench Cabinets Door + Drawer 900 mm - 5 No's. * Sitting Height Under Bench Cabinets Door + Drawer 450 mm - 1 No's. * 750 mm Leg Space with openable panel - 3 No's. * 700 mm Leg Space with openable panel - 1 No's. * H-Frame Support 750 mm - 1 No's * Service Drop - 1 No's * Electrical Race Way * Back Granite Supports * Filler Panels * PVC Skirting * 2 x 6/16 Amps (6 Module) Switch Sockets - 8 No's. * Data Points - 4 No's"/>
    <n v="1"/>
    <s v="No's."/>
    <n v="138244"/>
    <n v="138244"/>
    <m/>
    <m/>
  </r>
  <r>
    <n v="3.2"/>
    <x v="0"/>
    <x v="2"/>
    <s v="Sitting Height Work Bench"/>
    <s v="* 4700 x 900 x 750 mm (W D H) * GPSP with Powder Coating * Black Granite Worktop * Sitting Height Under Bench Cabinets Door + Drawer 900 mm - 3 No's. * Sitting Height Under Bench Cabinets Door + Drawer 450 mm - 1 No's. * 750 mm Leg Space with openable panel - 2 No's. * Service Drop - 1 No's * Electrical Race Way * Back Granite Supports * Filler Panels * PVC Skirting * 2 x 6/16 Amps (6 Module) Switch Sockets - 4 No's. * Data Points - 2 No's"/>
    <n v="1"/>
    <s v="No's."/>
    <n v="81229"/>
    <n v="81229"/>
    <m/>
    <m/>
  </r>
  <r>
    <n v="3.3"/>
    <x v="0"/>
    <x v="2"/>
    <s v="Spot Extractor with Ceiling Mount Bracket"/>
    <m/>
    <n v="6"/>
    <s v="No's."/>
    <n v="14375"/>
    <n v="86250"/>
    <m/>
    <m/>
  </r>
  <r>
    <n v="4.0999999999999996"/>
    <x v="0"/>
    <x v="3"/>
    <s v="Standing Height Anti-Vibration Table with Enclosure"/>
    <s v="* 900mm W x 750 mm D x 900mm H * GI with Powder Coating * Black Granite Worktop * 2 x 6/16 Amps (6 Module) Switch Sockets - 1 No's."/>
    <n v="1"/>
    <s v="No's."/>
    <n v="46900"/>
    <n v="46900"/>
    <m/>
    <m/>
  </r>
  <r>
    <n v="4.2"/>
    <x v="0"/>
    <x v="3"/>
    <s v="5' Bench Top Fume Hood With Horizontal &amp; Vertical Sliding Sash"/>
    <s v="* 15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Filler Panels * ABC Type fire extinguisher of 2 Kg with mounting bracket to be fixed inside the fume hood. * Pure Epoxy Scaffolding for 5' Hood * EMERGENCY STOP BUTTON * PVC Skirting"/>
    <n v="1"/>
    <s v="No's."/>
    <n v="181814"/>
    <n v="181814"/>
    <m/>
    <m/>
  </r>
  <r>
    <n v="4.3"/>
    <x v="0"/>
    <x v="3"/>
    <s v="&quot; L &quot; Shape Sitting Height Work Bench"/>
    <s v="* ( 4253+750 ) x 900 x 750 mm (W D H) * GPSP with Powder Coating * Black Granite Worktop * Sitting Height Under Bench Cabinets Door + Drawer 900 mm - 2 No's. * Sitting Height Under Bench Cabinets Door + Drawer 600 mm - 1 No's. * 750 mm Leg Space with openable panel - 1 No's. * 700 mm Leg Space with openable panel - 1 No's. * H-Frame Support 750 mm - 1 No's * Service Drop - 1 No's * Electrical Race Way * Back Granite Supports * Gable Leg * Filler Panels * PVC Skirting * 2 x 6/16 Amps (6 Module) Switch Sockets - 4 No's. * Data Points - 2 No's"/>
    <n v="1"/>
    <s v="No's."/>
    <n v="88726"/>
    <n v="88726"/>
    <m/>
    <m/>
  </r>
  <r>
    <n v="5.0999999999999996"/>
    <x v="0"/>
    <x v="4"/>
    <s v="Sitting Height Work Bench"/>
    <s v="* 2450 x 900 x 750 mm (W D H) * GPSP with Powder Coating * Black Granite Worktop * Sitting Height Under Bench Cabinets Door + Drawer 900 mm - 2 No's. * 600 mm Leg Space with openable panel - 1 No's. * Service Drop - 1 No's * Electrical Race Way * Back Granite Supports * Finished Back Panel * Filler Panels * PVC Skirting * 2 x 6/16 Amps (6 Module) Switch Sockets - 2 No's. * Data Points - 1 No's"/>
    <n v="1"/>
    <s v="No's."/>
    <n v="53039"/>
    <n v="53039"/>
    <m/>
    <m/>
  </r>
  <r>
    <n v="5.2"/>
    <x v="0"/>
    <x v="4"/>
    <s v="Spot Extractor with Ceiling Mount Bracket"/>
    <m/>
    <n v="1"/>
    <s v="No's."/>
    <n v="14375"/>
    <n v="14375"/>
    <m/>
    <m/>
  </r>
  <r>
    <n v="6.1"/>
    <x v="0"/>
    <x v="5"/>
    <s v="Solvent Storage Cabinet"/>
    <s v="* Size: 1092 mm W X 457 mm D X 1651 mm H"/>
    <n v="3"/>
    <s v="No's."/>
    <n v="53000"/>
    <n v="159000"/>
    <m/>
    <m/>
  </r>
  <r>
    <n v="6.2"/>
    <x v="0"/>
    <x v="5"/>
    <s v="Chemical Storage Cabinet"/>
    <s v="* Size : 900 mm W X 500 mm D X 2100 mm H"/>
    <n v="4"/>
    <s v="No's."/>
    <n v="38500"/>
    <n v="154000"/>
    <m/>
    <m/>
  </r>
  <r>
    <n v="7.1"/>
    <x v="0"/>
    <x v="6"/>
    <s v="Vertical Storage Cabinet"/>
    <s v="* 900mm W x 500mm D x 2100mm H * GI with Powder Coating * Adjustable Metal Shelves"/>
    <n v="9"/>
    <s v="No's."/>
    <n v="21500"/>
    <n v="193500"/>
    <m/>
    <m/>
  </r>
  <r>
    <n v="8.1"/>
    <x v="0"/>
    <x v="7"/>
    <s v="Vertical Storage Cabinet"/>
    <s v="* 750mm W x 500mm D x 2100mm H * GI with Powder Coating * Adjustable Metal Shelves"/>
    <n v="12"/>
    <s v="No's."/>
    <n v="19500"/>
    <n v="234000"/>
    <m/>
    <m/>
  </r>
  <r>
    <n v="9.1"/>
    <x v="0"/>
    <x v="8"/>
    <s v="&quot; L &quot; Shape Sitting Height Frame Table"/>
    <s v="* ( 4302+3153 ) X 1050 X 750 MM ( W D H ) * GPSP with Powder Coating * Black Granite Worktop * H-Frame Structure 7455 mm - 1 No's * 600 mm wide Storage Module with One Drawer Two Shutter on Castor Cabinet - 4 No's. * Service Drop - 1 No's * Electrical Race Way * 2 x 6/16 Amps (6 Module) Switch Sockets - 12 No's. * Data Points - 6 No's"/>
    <n v="1"/>
    <s v="No's."/>
    <n v="137363"/>
    <n v="137363"/>
    <m/>
    <m/>
  </r>
  <r>
    <n v="10.1"/>
    <x v="0"/>
    <x v="9"/>
    <s v="Standing Height Anti-Vibration Table with Enclosure"/>
    <s v="* 900mm W x 750 mm D x 900mm H * GI with Powder Coating * Black Granite Worktop * 2 x 6/16 Amps (6 Module) Switch Sockets - 1 No's."/>
    <n v="1"/>
    <s v="No's."/>
    <n v="46900"/>
    <n v="46900"/>
    <m/>
    <m/>
  </r>
  <r>
    <n v="11.1"/>
    <x v="0"/>
    <x v="10"/>
    <s v="&quot; L &quot; Shape Standing Height Work Bench"/>
    <s v="* ( 2375+1180+1551 ) x 750 x 900 mm (W D H) * GPSP with Powder Coating * Black Granite Worktop * Standing Height Under Bench Cabinets Door + Drawer 900 mm - 1 No's. * Standing Height Under Bench Cabinets Door + Drawer 750 mm - 2 No's. * 750 mm Leg Space with openable panel - 1 No's. * 600 mm Leg Space with openable panel - 1 No's. * Standing Height Under Bench Corner Cabinet - 1 No. * Service Drop - 1 No's * Electrical Race Way * Back Granite Supports * Filler Panels * PVC Skirting * 2 x 6/16 Amps (6 Module) Switch Sockets - 7 No's. * Data Points - 2 No's"/>
    <n v="1"/>
    <s v="No's."/>
    <n v="84864"/>
    <n v="84864"/>
    <m/>
    <m/>
  </r>
  <r>
    <n v="12.1"/>
    <x v="0"/>
    <x v="11"/>
    <s v="&quot; L &quot; Shape Standing Height Work Bench"/>
    <s v="* ( 2375+1180+1551 ) x 750 x 900 mm (W D H) * GPSP with Powder Coating * Black Granite Worktop * Standing Height Under Bench Cabinets Door + Drawer 900 mm - 1 No's. * Standing Height Under Bench Cabinets Door + Drawer 750 mm - 2 No's. * 750 mm Leg Space with openable panel - 1 No's. * 600 mm Leg Space with openable panel - 1 No's. * Standing Height Under Bench Corner Cabinet - 1 No. * Service Drop - 1 No's * Electrical Race Way * Back Granite Supports * Filler Panels * PVC Skirting * 2 x 6/16 Amps (6 Module) Switch Sockets - 6 No's. * Data Points - 2 No's"/>
    <n v="1"/>
    <s v="No's."/>
    <n v="83964"/>
    <n v="83964"/>
    <m/>
    <m/>
  </r>
  <r>
    <n v="13.1"/>
    <x v="0"/>
    <x v="12"/>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Filler Panels * ABC Type fire extinguisher of 2 Kg with mounting bracket to be fixed inside the fume hood. * EMERGENCY STOP BUTTON * Pure Epoxy Scaffolding for 6' Hood * PVC Skirting"/>
    <n v="2"/>
    <s v="No's."/>
    <n v="191317"/>
    <n v="382634"/>
    <m/>
    <m/>
  </r>
  <r>
    <n v="13.2"/>
    <x v="0"/>
    <x v="12"/>
    <s v="Standing Height Work Bench with Sink Unit"/>
    <s v="* 3406 x 750 x 900 mm (W D H) * GPSP with Powder Coating * Black Granite Worktop * Granite Skirting * Standing Height Under Bench Cabinets Door + Drawer 900 mm - 2 No's. * 750 mm Leg Space with openable panel - 1 No's. * Standing Height Sink Module 750mm - 1 No's. * PP Sink - 1 No's * One Way Water Faucet with Necessary Hardware * PP Bottle Trap for Drain &amp; Sink Outlet Nipple &amp; PP Hose Pipe with Coupler * Dual Eye Washer with Pipe * Peg Board * Back Granite Supports * Filler Panels * PVC Skirting"/>
    <n v="1"/>
    <s v="No's."/>
    <n v="61661"/>
    <n v="61661"/>
    <m/>
    <m/>
  </r>
  <r>
    <n v="14.1"/>
    <x v="0"/>
    <x v="13"/>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Filler Panels * ABC Type fire extinguisher of 2 Kg with mounting bracket to be fixed inside the fume hood. * EMERGENCY STOP BUTTON * Pure Epoxy Scaffolding for 6' Hood * PVC Skirting"/>
    <n v="1"/>
    <s v="No's."/>
    <n v="191317"/>
    <n v="191317"/>
    <m/>
    <m/>
  </r>
  <r>
    <n v="14.2"/>
    <x v="0"/>
    <x v="13"/>
    <s v="&quot; L &quot; Shape Standing Height Work Bench with Sink Unit"/>
    <s v="* ( 2725+1180+1000 ) x 900 x 900 mm (W D H) * GPSP with Powder Coating * Black Granite Worktop * Granite Skirting * Standing Height Under Bench Cabinets Door + Drawer 900 mm - 1 No's. * Standing Height Under Bench Cabinets Door + Drawer 500 mm - 2 No's. * Standing Height Under Bench Corner Cabinet - 1 No. * 900 mm Leg Space with openable panel - 1 No's. * Standing Height Sink Module 900mm - 1 No's. * PP Sink - 1 No's * One Way Water Faucet with Necessary Hardware * Peg Board * PP Bottle Trap for Drain &amp; Sink Outlet Nipple &amp; PP Hose Pipe with Coupler * Dual Eye Washer with Pipe * Service Drop - 1 No's * Electrical Race Way * Back Granite Supports * Filler Panels * PVC Skirting * 2 x 6/16 Amps (6 Module) Switch Sockets - 5 No's."/>
    <n v="1"/>
    <s v="No's."/>
    <n v="101430"/>
    <n v="101430"/>
    <m/>
    <m/>
  </r>
  <r>
    <n v="14.3"/>
    <x v="0"/>
    <x v="13"/>
    <s v="&quot; U &quot; Shape Standing Height Work Bench"/>
    <s v="* ( 4375+1180+1000+4700 ) x 900 x 900 mm (W D H) * GPSP with Powder Coating * Black Granite Worktop * Standing Height Under Bench Cabinets Door + Drawer 900 mm - 4 No's. * Standing Height Under Bench Cabinets Door + Drawer 750 mm - 2 No's. * Standing Height Under Bench Cabinets Door + Drawer 500 mm - 2 No's. * Standing Height Under Bench Cabinets Door + Drawer 450 mm - 2 No's. * Standing Height Under Bench Corner Cabinet - 1 No. * 750 mm Leg Space with openable panel - 4 No's. * H-Frame Supports 900 mm - 1 No's * Service Drop - 1 No's * Electrical Race Way * Back Granite Supports * Finished Back Panel * Filler Panels * PVC Skirting * 2 x 6/16 Amps (6 Module) Switch Sockets - 12 No's."/>
    <n v="1"/>
    <s v="No's."/>
    <n v="209925"/>
    <n v="209925"/>
    <m/>
    <m/>
  </r>
  <r>
    <n v="15.1"/>
    <x v="0"/>
    <x v="14"/>
    <s v="Standing Height Work Bench"/>
    <s v="* 2606 x 900 x 900 mm (W D H) * GPSP with Powder Coating * Black Granite Worktop * Standing Height Under Bench Cabinets Door + Drawer 900 mm - 2 No's. * 750 mm Leg Space with openable panel - 1 No's. * Service Drop - 1 No's * Electrical Race Way * Back Granite Supports * Filler Panels * PVC Skirting * 2 x 6/16 Amps (6 Module) Switch Sockets - 3 No's."/>
    <n v="1"/>
    <s v="No's."/>
    <n v="49356"/>
    <n v="49356"/>
    <m/>
    <m/>
  </r>
  <r>
    <n v="16.100000000000001"/>
    <x v="0"/>
    <x v="15"/>
    <s v="Standing Height Work Bench"/>
    <s v="* 1370 x 750x 900 mm (W D H) * GPSP with Powder Coating * Black Granite Worktop * Standing Height Under Bench Cabinets Door + Drawer 450 mm - 1 No's. * 800 mm Leg Space with openable panel - 1 No's. * Service Drop - 1 No's * Electrical Race Way * Back Granite Supports * Gable Leg * PVC Skirting * 2 x 6/16 Amps (6 Module) Switch Sockets - 1 No's. * Data Points - 1 No's"/>
    <n v="1"/>
    <s v="No's."/>
    <n v="27723"/>
    <n v="27723"/>
    <m/>
    <m/>
  </r>
  <r>
    <n v="17.100000000000001"/>
    <x v="0"/>
    <x v="16"/>
    <s v="Standing Height Work Bench"/>
    <s v="* 2230 x 750x 900 mm (W D H) * GPSP with Powder Coating * Black Granite Worktop * Standing Height Under Bench Cabinets Door + Drawer 900 mm - 1 No's. * Standing Height Under Bench Cabinets Door + Drawer 450 mm - 1 No's. * 750 mm Leg Space with openable panel - 1 No's. * Service Drop - 1 No's * Electrical Race Way * Back Granite Supports * Filler Panels * PVC Skirting * 2 x 6/16 Amps (6 Module) Switch Sockets - 2 No's."/>
    <n v="1"/>
    <s v="No's."/>
    <n v="41532"/>
    <n v="41532"/>
    <m/>
    <m/>
  </r>
  <r>
    <n v="18.100000000000001"/>
    <x v="0"/>
    <x v="17"/>
    <s v="Open Racks"/>
    <s v="* 900 W x 500mm D x 2100mm H * GI with Powder Coated * Adjustable Metal Shelves"/>
    <n v="17"/>
    <s v="No's."/>
    <n v="8200"/>
    <n v="139400"/>
    <m/>
    <m/>
  </r>
  <r>
    <n v="19.100000000000001"/>
    <x v="0"/>
    <x v="18"/>
    <s v="Standing Height Work Bench with Sink Unit"/>
    <s v="* 4842 x 750 x 900 mm (W D H) * GPSP with Powder Coating * Black Granite Worktop * Granite Skirting * Standing Height Under Bench Cabinets Door + Drawer 900 mm - 2 No's. * Standing Height Under Bench Cabinets Door + Drawer 450 mm - 1 No's. * 750 mm Leg Space with openable panel - 1 No's. * Canopy Hood :-SIZE:- 900 MML X 750 MM D X 350 MMH * Standing Height Sink Module 900mm - 2 No's. * PP Sink - 2 No's * One Way Water Faucet with Necessary Hardware * Peg Board * PP Bottle Trap for Drain &amp; Sink Outlet Nipple &amp; PP Hose Pipe with Coupler * Service Drop - 1 No's * Electrical Race Way * Back Granite Supports * Filler Panels * PVC Skirting * 2 x 6/16 Amps (6 Module) Switch Sockets - 3 No's. R&amp;D Lab Furniture &amp; Accessories"/>
    <n v="1"/>
    <s v="No's."/>
    <n v="127131"/>
    <n v="127131"/>
    <m/>
    <m/>
  </r>
  <r>
    <n v="1.1000000000000001"/>
    <x v="1"/>
    <x v="5"/>
    <s v="Chemical Storage Cabinet with Exhaust"/>
    <s v="* Size : 900 mm W X 500 mm D X 2100 mm H"/>
    <n v="12"/>
    <s v="No's."/>
    <n v="40426"/>
    <n v="485112"/>
    <m/>
    <m/>
  </r>
  <r>
    <n v="2.1"/>
    <x v="1"/>
    <x v="19"/>
    <s v="Solvent Storage Cabinets"/>
    <s v="* Size: 1000 mm W X 500 mm D X 2100 mm H"/>
    <n v="6"/>
    <s v="No's."/>
    <n v="55650"/>
    <n v="333900"/>
    <m/>
    <m/>
  </r>
  <r>
    <n v="3.1"/>
    <x v="1"/>
    <x v="7"/>
    <s v="Vertical Storage Cabinet"/>
    <s v="* 900mm W x 500mm D x 2100mm H * GI with Powder Coating * Adjustable Metal Shelves"/>
    <n v="6"/>
    <s v="No's."/>
    <n v="22576"/>
    <n v="135456"/>
    <m/>
    <m/>
  </r>
  <r>
    <n v="3.2"/>
    <x v="1"/>
    <x v="7"/>
    <s v="Vertical Storage Cabinet"/>
    <s v="* 750mm W x 500mm D x 2100mm H * GI with Powder Coating * Adjustable Metal Shelves"/>
    <n v="4"/>
    <s v="No's."/>
    <n v="20476"/>
    <n v="81904"/>
    <m/>
    <m/>
  </r>
  <r>
    <n v="4.0999999999999996"/>
    <x v="1"/>
    <x v="20"/>
    <s v="Standing Height Work Bench with Sink Unit"/>
    <s v="* 3701 x 750 x 900 mm (W D H) * GPSP with Powder Coating * Black Granite Worktop * Granite Skirting * Standing Height Under Bench Cabinets Door + Drawer 450 mm - 2 No's. * 900 mm Leg Space with openable panel - 1 No's. * Standing Height Sink Module 900mm - 2 No's. * PP Sink - 2 No's * One Way Water Faucet with Necessary Hardware * Peg Board * PP Bottle Trap for Drain &amp; Sink Outlet Nipple &amp; PP Hose Pipe with Coupler * Dual Eye Wah with Pipe * Service Drop - 1 No's * Electrical Race Way * Back Granite Supports * Filler Panels * PVC Skirting * 2 x 6/16 Amps (6 Module) Switch Sockets - 2 No's."/>
    <n v="1"/>
    <s v="No's."/>
    <n v="100033"/>
    <n v="100033"/>
    <m/>
    <m/>
  </r>
  <r>
    <n v="5.0999999999999996"/>
    <x v="1"/>
    <x v="6"/>
    <s v="Vertical Storage Cabinet"/>
    <s v="* 900mm W x 500mm D x 2100mm H * GI with Powder Coating * Adjustable Metal Shelves"/>
    <n v="16"/>
    <s v="No's."/>
    <n v="22576"/>
    <n v="361216"/>
    <m/>
    <m/>
  </r>
  <r>
    <n v="5.2"/>
    <x v="1"/>
    <x v="6"/>
    <s v="Sitting Height Work Bench"/>
    <s v="* 2450 x 750 x 750 mm (W D H) * GPSP with Powder Coating * Black Granite Worktop * Sitting Height Under Bench Cabinets Door + Drawer 450 mm - 2 No's. * 750 mm Leg Space with openable panel - 2 No's. * Service Drop - 1 No's * Electrical Race Way * Back Granite Supports * Filler Panels * PVC Skirting * 2 x 6/16 Amps (6 Module) Switch Sockets - 4 No's. * Data Points - 4 No's"/>
    <n v="1"/>
    <s v="No's."/>
    <n v="47786"/>
    <n v="47786"/>
    <m/>
    <m/>
  </r>
  <r>
    <n v="6.1"/>
    <x v="1"/>
    <x v="17"/>
    <s v="Open Racks"/>
    <s v="* 900 W x 500mm D x 2100mm H * GI with Powder Coated * Adjustable Metal Shelves"/>
    <n v="9"/>
    <s v="No's."/>
    <n v="8610"/>
    <n v="77490"/>
    <m/>
    <m/>
  </r>
  <r>
    <n v="7.1"/>
    <x v="1"/>
    <x v="21"/>
    <s v="Standing Height Anti-Vibration Table"/>
    <s v="* 900mm W x 750 mm D x 900mm H * GI with Powder Coating * Black Granite Worktop * 2 x 6/16 Amps (6 Module) Switch Sockets - 1 No's."/>
    <n v="1"/>
    <s v="No's."/>
    <n v="24570"/>
    <n v="24570"/>
    <m/>
    <m/>
  </r>
  <r>
    <n v="7.2"/>
    <x v="1"/>
    <x v="21"/>
    <s v="Solvent Storage Cabinet"/>
    <s v="* Size: 1092 mm W X 457 mm D X 1651 mm H"/>
    <n v="1"/>
    <s v="No's."/>
    <n v="55650"/>
    <n v="55650"/>
    <m/>
    <m/>
  </r>
  <r>
    <n v="7.3"/>
    <x v="1"/>
    <x v="21"/>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7.4"/>
    <x v="1"/>
    <x v="21"/>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7.5"/>
    <x v="1"/>
    <x v="21"/>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7.6"/>
    <x v="1"/>
    <x v="21"/>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7.7"/>
    <x v="1"/>
    <x v="21"/>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7.8"/>
    <x v="1"/>
    <x v="21"/>
    <s v="Spot Extractor with Ceiling Mount Bracket"/>
    <m/>
    <n v="2"/>
    <s v="No's."/>
    <n v="15095"/>
    <n v="30190"/>
    <m/>
    <m/>
  </r>
  <r>
    <n v="8.1"/>
    <x v="1"/>
    <x v="22"/>
    <s v="Standing Height Anti-Vibration Table"/>
    <s v="* 900mm W x 750 mm D x 900mm H * GI with Powder Coating * Black Granite Worktop * 2 x 6/16 Amps (6 Module) Switch Sockets - 1 No's."/>
    <n v="1"/>
    <s v="No's."/>
    <n v="24570"/>
    <n v="24570"/>
    <m/>
    <m/>
  </r>
  <r>
    <n v="8.1999999999999993"/>
    <x v="1"/>
    <x v="22"/>
    <s v="Solvent Storage Cabinet"/>
    <s v="* Size: 1092 mm W X 457 mm D X 1651 mm H"/>
    <n v="1"/>
    <s v="No's."/>
    <n v="55650"/>
    <n v="55650"/>
    <m/>
    <m/>
  </r>
  <r>
    <n v="8.3000000000000007"/>
    <x v="1"/>
    <x v="22"/>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8.4"/>
    <x v="1"/>
    <x v="22"/>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8.5"/>
    <x v="1"/>
    <x v="22"/>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8.6"/>
    <x v="1"/>
    <x v="22"/>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8.6999999999999993"/>
    <x v="1"/>
    <x v="22"/>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8.8000000000000007"/>
    <x v="1"/>
    <x v="22"/>
    <s v="Spot Extractor with Ceiling Mount Bracket"/>
    <m/>
    <n v="2"/>
    <s v="No's."/>
    <n v="15095"/>
    <n v="30190"/>
    <m/>
    <m/>
  </r>
  <r>
    <n v="9.1"/>
    <x v="1"/>
    <x v="23"/>
    <s v="Standing Height Anti-Vibration Table"/>
    <s v="* 900mm W x 750 mm D x 900mm H * GI with Powder Coating * Black Granite Worktop * 2 x 6/16 Amps (6 Module) Switch Sockets - 1 No's."/>
    <n v="1"/>
    <s v="No's."/>
    <n v="24570"/>
    <n v="24570"/>
    <m/>
    <m/>
  </r>
  <r>
    <n v="9.1999999999999993"/>
    <x v="1"/>
    <x v="23"/>
    <s v="Solvent Storage Cabinet"/>
    <s v="* Size: 1092 mm W X 457 mm D X 1651 mm H"/>
    <n v="1"/>
    <s v="No's."/>
    <n v="55650"/>
    <n v="55650"/>
    <m/>
    <m/>
  </r>
  <r>
    <n v="9.3000000000000007"/>
    <x v="1"/>
    <x v="23"/>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9.4"/>
    <x v="1"/>
    <x v="23"/>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9.5"/>
    <x v="1"/>
    <x v="23"/>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9.6"/>
    <x v="1"/>
    <x v="23"/>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9.6999999999999993"/>
    <x v="1"/>
    <x v="23"/>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9.8000000000000007"/>
    <x v="1"/>
    <x v="23"/>
    <s v="Spot Extractor with Ceiling Mount Bracket"/>
    <m/>
    <n v="2"/>
    <s v="No's."/>
    <n v="15095"/>
    <n v="30190"/>
    <m/>
    <m/>
  </r>
  <r>
    <n v="10.1"/>
    <x v="1"/>
    <x v="24"/>
    <s v="Standing Height Anti-Vibration Table"/>
    <s v="* 900mm W x 750 mm D x 900mm H * GI with Powder Coating * Black Granite Worktop * 2 x 6/16 Amps (6 Module) Switch Sockets - 1 No's."/>
    <n v="1"/>
    <s v="No's."/>
    <n v="24570"/>
    <n v="24570"/>
    <m/>
    <m/>
  </r>
  <r>
    <n v="10.199999999999999"/>
    <x v="1"/>
    <x v="24"/>
    <s v="Solvent Storage Cabinet"/>
    <s v="* Size: 1092 mm W X 457 mm D X 1651 mm H"/>
    <n v="1"/>
    <s v="No's."/>
    <n v="55650"/>
    <n v="55650"/>
    <m/>
    <m/>
  </r>
  <r>
    <n v="10.3"/>
    <x v="1"/>
    <x v="24"/>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10.4"/>
    <x v="1"/>
    <x v="24"/>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10.5"/>
    <x v="1"/>
    <x v="24"/>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10.6"/>
    <x v="1"/>
    <x v="24"/>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10.7"/>
    <x v="1"/>
    <x v="24"/>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10.8"/>
    <x v="1"/>
    <x v="24"/>
    <s v="Spot Extractor with Ceiling Mount Bracket"/>
    <m/>
    <n v="2"/>
    <s v="No's."/>
    <n v="15095"/>
    <n v="30190"/>
    <m/>
    <m/>
  </r>
  <r>
    <n v="11.1"/>
    <x v="1"/>
    <x v="25"/>
    <s v="Standing Height Anti-Vibration Table"/>
    <s v="* 900mm W x 750 mm D x 900mm H * GI with Powder Coating * Black Granite Worktop * 2 x 6/16 Amps (6 Module) Switch Sockets - 1 No's."/>
    <n v="1"/>
    <s v="No's."/>
    <n v="24570"/>
    <n v="24570"/>
    <m/>
    <m/>
  </r>
  <r>
    <n v="11.2"/>
    <x v="1"/>
    <x v="25"/>
    <s v="Solvent Storage Cabinet"/>
    <s v="* Size: 1092 mm W X 457 mm D X 1651 mm H"/>
    <n v="1"/>
    <s v="No's."/>
    <n v="55650"/>
    <n v="55650"/>
    <m/>
    <m/>
  </r>
  <r>
    <n v="11.3"/>
    <x v="1"/>
    <x v="25"/>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11.4"/>
    <x v="1"/>
    <x v="25"/>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11.5"/>
    <x v="1"/>
    <x v="25"/>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11.6"/>
    <x v="1"/>
    <x v="25"/>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11.7"/>
    <x v="1"/>
    <x v="25"/>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11.8"/>
    <x v="1"/>
    <x v="25"/>
    <s v="Spot Extractor with Ceiling Mount Bracket"/>
    <m/>
    <n v="2"/>
    <s v="No's."/>
    <n v="15095"/>
    <n v="30190"/>
    <m/>
    <m/>
  </r>
  <r>
    <n v="12.1"/>
    <x v="1"/>
    <x v="26"/>
    <s v="Standing Height Anti-Vibration Table"/>
    <s v="* 900mm W x 750 mm D x 900mm H * GI with Powder Coating * Black Granite Worktop * 2 x 6/16 Amps (6 Module) Switch Sockets - 1 No's."/>
    <n v="1"/>
    <s v="No's."/>
    <n v="24570"/>
    <n v="24570"/>
    <m/>
    <m/>
  </r>
  <r>
    <n v="12.2"/>
    <x v="1"/>
    <x v="26"/>
    <s v="Solvent Storage Cabinet"/>
    <s v="* Size: 1092 mm W X 457 mm D X 1651 mm H"/>
    <n v="1"/>
    <s v="No's."/>
    <n v="55650"/>
    <n v="55650"/>
    <m/>
    <m/>
  </r>
  <r>
    <n v="12.3"/>
    <x v="1"/>
    <x v="26"/>
    <s v="6' Bench Top Fume Hood With Horizontal &amp; Vertical Sliding Sash"/>
    <s v="* 1800 x 950 x 2300mm (W D H) * MOC GPSP with Powder Coating * Phenolic Resin lined Interiors * 6mm Tampered Safety Glass for Sash * PP Lined Base Cabinets - 2 Nos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Filler Panels * PVC Skirting"/>
    <n v="4"/>
    <s v="No's."/>
    <n v="202577"/>
    <n v="810308"/>
    <m/>
    <m/>
  </r>
  <r>
    <n v="12.4"/>
    <x v="1"/>
    <x v="26"/>
    <s v="Standing Height Work Bench"/>
    <s v="* 2575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0744"/>
    <n v="60744"/>
    <m/>
    <m/>
  </r>
  <r>
    <n v="12.5"/>
    <x v="1"/>
    <x v="26"/>
    <s v="Standing Height Work Bench"/>
    <s v="* 2641 x 900 x 900 mm (W D H) * GPSP with Powder Coating * Black Granite Worktop * Standing Height Under Bench Cabinets Door + Drawer 900 mm - 2 No's. * 750 mm Leg Space with openable panel - 1 No's. * Single Sided 2 Tier Reagent Rack with 200mm Depth * Service Drop - 1 No's * Electrical Race Way * Back Granite Supports * Filler Panels * PVC Skirting * 2 x 6/16 Amps (6 Module) Switch Sockets -4 No's."/>
    <n v="1"/>
    <s v="No's."/>
    <n v="61245"/>
    <n v="61245"/>
    <m/>
    <m/>
  </r>
  <r>
    <n v="12.6"/>
    <x v="1"/>
    <x v="26"/>
    <s v="Standing Height Island Work Bench with Sink Unit"/>
    <s v="* 4550 x 1500 x 900 mm (W D H) * GPSP with Powder Coating * Black Granite Worktop * Granite Skirting * Standing Height Under Bench Cabinets Door + Drawer 900mm - 5 No's. * 900 mm Leg Space with openable panel - 4 No's. * Standing Height Sink Module 900mm - 1 No's. * PP Sink - 1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88805"/>
    <n v="188805"/>
    <m/>
    <m/>
  </r>
  <r>
    <n v="12.7"/>
    <x v="1"/>
    <x v="26"/>
    <s v="Standing Height Work Bench with Sink Unit"/>
    <s v="* 941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2038"/>
    <n v="32038"/>
    <m/>
    <m/>
  </r>
  <r>
    <n v="12.8"/>
    <x v="1"/>
    <x v="26"/>
    <s v="Spot Extractor with Ceiling Mount Bracket"/>
    <m/>
    <n v="2"/>
    <s v="No's."/>
    <n v="15095"/>
    <n v="30190"/>
    <m/>
    <m/>
  </r>
  <r>
    <n v="13.1"/>
    <x v="1"/>
    <x v="27"/>
    <s v="8' Walk In Fume Hood"/>
    <s v="* 2400 x 950 x 2300mm (W D H) * MOC GPSP with Powder Coating * Phenolic Resin lined Interiors * 6mm Tampered Safety Glass for Sash * Light Fixture * Dished Granite Work Top 18mm with finishing * 3 Modular Cover frame with 6/16 A Switch &amp; Sockets - 6 nos * Remote Control Valves - 4 No's. * PP Cup Sink - 1 No * Bottle Trap - 1 No * Fume Hood Furring panel * EMERGENCY STOP BUTTON * PVC Skirting"/>
    <n v="5"/>
    <s v="No's."/>
    <n v="223551"/>
    <n v="1117755"/>
    <m/>
    <m/>
  </r>
  <r>
    <n v="13.2"/>
    <x v="1"/>
    <x v="27"/>
    <s v="Standing Height Island Work Bench with Sink Unit"/>
    <s v="* 4475 x 1500 x 900 mm (W D H) * GPSP with Powder Coating * Black Granite Worktop * Granite Skirting * Standing Height Under Bench Cabinets Door + Drawer 900mm - 4 No's. * 900 mm Leg Space with openable panel - 4 No's. * Standing Height Sink Module 900mm - 2 No's. * PP Sink - 2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96298"/>
    <n v="196298"/>
    <m/>
    <m/>
  </r>
  <r>
    <n v="13.3"/>
    <x v="1"/>
    <x v="27"/>
    <s v="Standing Height Work Bench with Sink Unit"/>
    <s v="* 1300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3134"/>
    <n v="33134"/>
    <m/>
    <m/>
  </r>
  <r>
    <n v="13.4"/>
    <x v="1"/>
    <x v="27"/>
    <s v="Spot Extractor with Ceiling Mount Bracket"/>
    <m/>
    <n v="2"/>
    <s v="No's."/>
    <n v="15095"/>
    <n v="30190"/>
    <m/>
    <m/>
  </r>
  <r>
    <n v="13.5"/>
    <x v="1"/>
    <x v="27"/>
    <s v="Solvent Storage Cabinet"/>
    <s v="* Size: 1092 mm W X 457 mm D X 1651 mm H"/>
    <n v="1"/>
    <s v="No's."/>
    <n v="55650"/>
    <n v="55650"/>
    <m/>
    <m/>
  </r>
  <r>
    <n v="14.1"/>
    <x v="1"/>
    <x v="27"/>
    <s v="8' Walk In Fume Hood With Horizontal &amp; Vertical Sliding Sash"/>
    <s v="* 2400 x 950 x 2300mm (W D H) * MOC GPSP with Powder Coating * Phenolic Resin lined Interiors * 6mm Tampered Safety Glass for Sash * Light Fixture * Dished Granite Work Top 18mm with finishing * 3 Modular Cover frame with 6/16 A Switch &amp; Sockets - 6 nos * Remote Control Valves - 4 No's. * PP Cup Sink - 1 No * Bottle Trap - 1 No * Fume Hood Furring panel * ABC Type fire extinguisher of 2 Kg with mounting bracket to be fixed inside the fume hood. * EMERGENCY STOP BUTTON * Pure Epoxy Scaffolding for 6' Hood * PVC Skirting"/>
    <n v="5"/>
    <s v="No's."/>
    <n v="234261"/>
    <n v="1171305"/>
    <m/>
    <m/>
  </r>
  <r>
    <n v="14.2"/>
    <x v="1"/>
    <x v="27"/>
    <s v="Standing Height Island Work Bench with Sink Unit"/>
    <s v="* 4475 x 1500 x 900 mm (W D H) * GPSP with Powder Coating * Black Granite Worktop * Granite Skirting * Standing Height Under Bench Cabinets Door + Drawer 900mm - 4 No's. * 900 mm Leg Space with openable panel - 4 No's. * Standing Height Sink Module 900mm - 2 No's. * PP Sink - 2 No's * One Way Water Faucet with Necessary Hardware * PP Bottle Trap for Drain &amp; Sink Outlet Nipple &amp; PP Hose Pipe with Coupler * Dual Eye Wah with Pipe * Double Sided 2 Tier Reagent Rack with 300mm Depth * Island Middle Frame * Service Drop - 1 No's * Electrical Raceway * Islandbench End Close Panel * PVC Skirting * 2 x 6/16 Amps (6 Module) Switch Sockets - 8 No's."/>
    <n v="1"/>
    <s v="No's."/>
    <n v="196298"/>
    <n v="196298"/>
    <m/>
    <m/>
  </r>
  <r>
    <n v="14.3"/>
    <x v="1"/>
    <x v="27"/>
    <s v="Standing Height Work Bench with Sink Unit"/>
    <s v="* 1300 x 900 x 900 mm (W D H) * GPSP with Powder Coating * Black Granite Worktop * Granite Skirting * Standing Height Sink Module 900mm - 1 No's. * PP Sink - 1 No's * One Way Water Faucet with Necessary Hardware * Peg Board * PP Bottle Trap for Drain &amp; Sink Outlet Nipple &amp; PP Hose Pipe with Coupler * Dual Eye Wah with Pipe * Filler Panels"/>
    <n v="1"/>
    <s v="No's."/>
    <n v="33134"/>
    <n v="33134"/>
    <m/>
    <m/>
  </r>
  <r>
    <n v="14.4"/>
    <x v="1"/>
    <x v="27"/>
    <s v="Spot Extractor with Ceiling Mount Bracket"/>
    <m/>
    <n v="2"/>
    <s v="No's."/>
    <n v="15095"/>
    <n v="30190"/>
    <m/>
    <m/>
  </r>
  <r>
    <n v="14.5"/>
    <x v="1"/>
    <x v="27"/>
    <s v="Solvent Storage Cabinet"/>
    <s v="* Size: 1092 mm W X 457 mm D X 1651 mm H AR&amp;D Office Furniture &amp; Accessories"/>
    <n v="1"/>
    <s v="No's."/>
    <n v="55650"/>
    <n v="55650"/>
    <m/>
    <m/>
  </r>
  <r>
    <n v="1"/>
    <x v="2"/>
    <x v="27"/>
    <s v="CABIN TABLE WITH SIDE COMBO STORAGE"/>
    <s v="TABLE TOP : 25 MM thk. Prelaminated Particle Board with 2MM PVC Edge band on all side. Table top at 750MM height from floor level. Cut-out provision for Access flap as required. UNDERSTRUCTURE : Designer MS Tapered Leg ( Hock leg ) made up of 50x75MM verticals and Horizontal Connecting member made up of 40x40MM MS pipe finished in Powder coating. Cross members made up of 40x40MM MS Section finished in Powder coating are connected to Legs with Brackets for table support. WIRE MANAGMENT : Powder coated Switch mounting box below table top. Provision of vertical duct to take out cable from floor to box. MODESTY 450 MM HT.: Metal modesty panel with laser-cut embellishments made up of 1.5MM thick CRCA finished in Powder coating ACCESS FLAP 450MM LENGTH : Special Aluminium access flap. SIDE CREDENZA : 2 Drawers &amp; 1 Filling Drawer With 2 Openable Shutter finish in 25 / 18 MM thk. Prelaminated PB Board 2MM PVC Edge band to all Exposed Area &amp; Metal Drawer with Centralized Lock F Finger groove Handles. ( SIZE : 1200 X 450 X 750 MM HT. )"/>
    <n v="4"/>
    <s v="Nos"/>
    <n v="28595"/>
    <n v="114380"/>
    <m/>
    <m/>
  </r>
  <r>
    <n v="2"/>
    <x v="2"/>
    <x v="27"/>
    <s v="LINEAR WORKSTATION WITH 60MM MAIN &amp; 28MM RETURN PARTITION"/>
    <s v="MAIN PARTITION : 60 MM THK Slide-in Tile Based Partition of 1200mm Ht. with powder coating finish. WIRE MANAGEMENT : One Raceway at Skirting , Second Raceway Optional - Below Table Top. FINISHES ABOVE TABLE TOP : Glass Marker / Magnetic Fabric FINISHES BELOW TABLE TOP : 9 mm Thk. Prelaminated Prelaminated Particle panel RETURN PARTITION : 28 MM THK Panel Based Partition of 1200mm Ht. with powder coating finish. FINISHES ABOVE TABLE TOP : Fabric FINISHES BELOW TABLE TOP : Prelaminated Panels PRIVACY SCREEN 450 MM ht. : 8MM thick Frosted Glass from SOS standard colour range fitted on Special D brackets TABLE TOP : 25 MM thk. Prelaminated Particle Board with 2mm PVC Edge band on all side. Table top at 750mm height from floor level. Cut-out provision for wire manger as required. GABLE END : 25 MM thk. Prelaminated Particle Board with machine pressed PVC Edge band on all side. BRACKET : Corner &amp; Cantilever bracket for worktable support finished in powder coating PVC GROMMET"/>
    <n v="33"/>
    <s v="Nos"/>
    <n v="20723"/>
    <n v="683859"/>
    <m/>
    <m/>
  </r>
  <r>
    <n v="3"/>
    <x v="2"/>
    <x v="27"/>
    <s v="PLPB MOBILE PEDETASAL - 2B + 1 WITH FINGER GROOVE HANDLES"/>
    <s v="PEDESTAL : 2 Drawers &amp; 1 Filling Drawer pedestal with Castor finish in 18 MM thk. Prelaminated Particle Board Board 2MM PVC Edge band to all Exposed Area &amp; Metal Drawer with Centralized Lock with inger groove handle."/>
    <n v="33"/>
    <s v="Nos"/>
    <n v="5959"/>
    <n v="196647"/>
    <m/>
    <m/>
  </r>
  <r>
    <n v="4"/>
    <x v="2"/>
    <x v="27"/>
    <s v="Elan high back CHAIR for Cabins"/>
    <s v="HIGH BACK CHAIR 1 D PU ARM SYNCRO 1P LOCKING MECHANISM60MM NY CASTOR 660MM NYLON BASEFABRIC FINISH SEATMESH BACK R&amp;D Office Furniture &amp; Accessories"/>
    <n v="4"/>
    <s v="Nos"/>
    <n v="7856"/>
    <n v="31424"/>
    <m/>
    <m/>
  </r>
  <r>
    <n v="1"/>
    <x v="2"/>
    <x v="27"/>
    <s v="CABIN TABLE WITH SIDE COMBO STORAGE"/>
    <s v="TABLE TOP : 25 MM thk. Prelaminated Particle Board with 2MM PVC Edge band on all side. Table top at 750MM height from floor level. Cut-out provision for Access flap as required. UNDERSTRUCTURE : Designer MS Tapered Leg ( Hock leg ) made up of 50x75MM verticals and Horizontal Connecting member made up of 40x40MM MS pipe finished in Powder coating. Cross members made up of 40x40MM MS Section finished in Powder coating are connected to Legs with Brackets for table support. WIRE MANAGMENT : Powder coated Switch mounting box below table top. Provision of vertical duct to take out cable from floor to box. MODESTY 450 MM HT.: Metal modesty panel with laser-cut embellishments made up of 1.5MM thick CRCA finished in Powder coating ACCESS FLAP 450MM LENGTH : Special Aluminium access flap. SIDE CREDENZA : 2 Drawers &amp; 1 Filling Drawer With 2 Openable Shutter finish in 25 / 18 MM thk. Prelaminated PB Board 2MM PVC Edge band to all Exposed Area &amp; Metal Drawer with Centralized Lock F Finger groove Handles. ( SIZE : 1200 X 450 X 750 MM HT. )"/>
    <n v="8"/>
    <s v="Nos"/>
    <n v="28595"/>
    <n v="228760"/>
    <m/>
    <m/>
  </r>
  <r>
    <n v="2"/>
    <x v="2"/>
    <x v="27"/>
    <s v="LINEAR WORKSTATION WITH 60MM MAIN &amp; 28MM RETURN PARTITION"/>
    <s v="MAIN PARTITION : 60 MM THK Slide-in Tile Based Partition of 1200mm Ht. with powder coating finish. WIRE MANAGEMENT : One Raceway at Skirting , Second Raceway Optional - Below Table Top. FINISHES ABOVE TABLE TOP : Glass Marker / Magnetic Fabric FINISHES BELOW TABLE TOP : 9 mm Thk. Prelaminated Prelaminated Particle panel RETURN PARTITION : 28 MM THK Panel Based Partition of 1200mm Ht. with powder coating finish. FINISHES ABOVE TABLE TOP : Fabric FINISHES BELOW TABLE TOP : Prelaminated Panels PRIVACY SCREEN 450 MM ht. : 8MM thick Frosted Glass from SOS standard colour range fitted on Special D brackets TABLE TOP : 25 MM thk. Prelaminated Particle Board with 2mm PVC Edge band on all side. Table top at 750mm height from floor level. Cut-out provision for wire manger as required. GABLE END : 25 MM thk. Prelaminated Particle Board with machine pressed PVC Edge band on all side. BRACKET : Corner &amp; Cantilever bracket for worktable support finished in powder coating PVC GROMMET"/>
    <n v="28"/>
    <s v="Nos"/>
    <n v="20723"/>
    <n v="580244"/>
    <m/>
    <m/>
  </r>
  <r>
    <n v="3"/>
    <x v="2"/>
    <x v="27"/>
    <s v="PLPB MOBILE PEDETASAL - 2B + 1 WITH FINGER GROOVE HANDLES"/>
    <s v="PEDESTAL : 2 Drawers &amp; 1 Filling Drawer pedestal with Castor finish in 18 MM thk. Prelaminated Particle Board Board 2MM PVC Edge band to all Exposed Area &amp; Metal Drawer with Centralized Lock with inger groove handle."/>
    <n v="28"/>
    <s v="Nos"/>
    <n v="5959"/>
    <n v="166852"/>
    <m/>
    <m/>
  </r>
  <r>
    <n v="4"/>
    <x v="2"/>
    <x v="27"/>
    <s v="Elan high back CHAIR for Cabins"/>
    <s v="HIGH BACK CHAIR 1 D PU ARM SYNCRO 1P LOCKING MECHANISM60MM NY CASTOR 660MM NYLON BASEFABRIC FINISH SEATMESH BACK PPFRP Exhaust System &amp; Accessories"/>
    <n v="8"/>
    <s v="Nos"/>
    <n v="7856"/>
    <n v="62848"/>
    <m/>
    <m/>
  </r>
  <r>
    <n v="1"/>
    <x v="3"/>
    <x v="28"/>
    <s v="3mm PP + 2mm FRP Ducting with Necessary Installation Hardware and reducers"/>
    <m/>
    <n v="95"/>
    <s v="Sq.Mtr"/>
    <n v="2783"/>
    <n v="264385"/>
    <m/>
    <m/>
  </r>
  <r>
    <n v="1"/>
    <x v="3"/>
    <x v="28"/>
    <s v="100 mm Dia Damper for Spot Extractors, Exhaust Storage Cabinets"/>
    <m/>
    <n v="13"/>
    <s v="No.s"/>
    <n v="870"/>
    <n v="11310"/>
    <m/>
    <m/>
  </r>
  <r>
    <n v="1"/>
    <x v="3"/>
    <x v="28"/>
    <s v="300 mm Dia PP Damper for Fume hoods"/>
    <m/>
    <n v="4"/>
    <s v="No.s"/>
    <n v="2715"/>
    <n v="10860"/>
    <m/>
    <m/>
  </r>
  <r>
    <n v="1"/>
    <x v="3"/>
    <x v="28"/>
    <s v="250 mm Dia Damper for Canopy Hoods"/>
    <m/>
    <n v="2"/>
    <s v="No.s"/>
    <n v="1566"/>
    <n v="3132"/>
    <m/>
    <m/>
  </r>
  <r>
    <n v="1"/>
    <x v="3"/>
    <x v="28"/>
    <s v="100 mm Dia Flexible Hose with Clamps for Spot Extractors, Exhaust Storage Cabinets"/>
    <m/>
    <n v="26"/>
    <s v="Mtrs"/>
    <n v="495"/>
    <n v="12870"/>
    <m/>
    <m/>
  </r>
  <r>
    <n v="1"/>
    <x v="3"/>
    <x v="28"/>
    <s v="300 mm Flexible Hose with Clamps For Fume Hoods"/>
    <m/>
    <n v="8"/>
    <s v="Mtrs"/>
    <n v="1364"/>
    <n v="10912"/>
    <m/>
    <m/>
  </r>
  <r>
    <n v="1"/>
    <x v="3"/>
    <x v="28"/>
    <s v="250 mm Dia Flexible Hose with Clamps for Canopy Hoods"/>
    <m/>
    <n v="4"/>
    <s v="Mtrs"/>
    <n v="1108"/>
    <n v="4432"/>
    <m/>
    <m/>
  </r>
  <r>
    <n v="1"/>
    <x v="3"/>
    <x v="29"/>
    <s v="* 1750 CFM"/>
    <m/>
    <n v="1"/>
    <s v="No's"/>
    <n v="61922"/>
    <n v="61922"/>
    <m/>
    <m/>
  </r>
  <r>
    <n v="1"/>
    <x v="3"/>
    <x v="29"/>
    <s v="* 2400 CFM"/>
    <m/>
    <n v="1"/>
    <s v="No's"/>
    <n v="77924"/>
    <n v="77924"/>
    <m/>
    <m/>
  </r>
  <r>
    <n v="1"/>
    <x v="3"/>
    <x v="29"/>
    <s v="* 960 CFM"/>
    <m/>
    <n v="1"/>
    <s v="No's"/>
    <n v="50094"/>
    <n v="50094"/>
    <m/>
    <m/>
  </r>
  <r>
    <n v="1"/>
    <x v="3"/>
    <x v="30"/>
    <s v="Cluster 1: Scrubber Made of 3mm PP + 2mm FRP"/>
    <m/>
    <n v="1"/>
    <s v="No.s"/>
    <n v="173938"/>
    <n v="173938"/>
    <m/>
    <m/>
  </r>
  <r>
    <n v="1"/>
    <x v="3"/>
    <x v="31"/>
    <s v="Cluster 2: Scrubber Made of 3mm PP + 2mm FRP"/>
    <m/>
    <n v="1"/>
    <s v="No.s"/>
    <n v="208725"/>
    <n v="208725"/>
    <m/>
    <m/>
  </r>
  <r>
    <n v="1"/>
    <x v="3"/>
    <x v="32"/>
    <s v="3mm PP + 2mm FRP Ducting with Necessary Installation Hardware and reducers"/>
    <m/>
    <n v="600"/>
    <s v="Sq.Mtr"/>
    <n v="2783"/>
    <n v="1669800"/>
    <m/>
    <m/>
  </r>
  <r>
    <n v="1"/>
    <x v="3"/>
    <x v="32"/>
    <s v="100 mm Dia Damper for Spot Extractors, Exhaust Storage Cabinets"/>
    <m/>
    <n v="28"/>
    <s v="No.s"/>
    <n v="870"/>
    <n v="24360"/>
    <m/>
    <m/>
  </r>
  <r>
    <n v="1"/>
    <x v="3"/>
    <x v="32"/>
    <s v="300 mm Dia PP Damper for Fume hoods"/>
    <m/>
    <n v="34"/>
    <s v="No.s"/>
    <n v="2715"/>
    <n v="92310"/>
    <m/>
    <m/>
  </r>
  <r>
    <n v="1"/>
    <x v="3"/>
    <x v="32"/>
    <s v="100 mm Dia Flexible Hose with Clamps for Spot Extractors, Exhaust Storage Cabinets"/>
    <m/>
    <n v="56"/>
    <s v="Mtrs"/>
    <n v="495"/>
    <n v="27720"/>
    <m/>
    <m/>
  </r>
  <r>
    <n v="1"/>
    <x v="3"/>
    <x v="32"/>
    <s v="300 mm Flexible Hose with Clamps For Fume Hoods"/>
    <m/>
    <n v="68"/>
    <s v="Mtrs"/>
    <n v="1364"/>
    <n v="92752"/>
    <m/>
    <m/>
  </r>
  <r>
    <n v="1"/>
    <x v="3"/>
    <x v="29"/>
    <s v="* Cluster 1 &amp; 2 : 5700 CFM"/>
    <m/>
    <n v="2"/>
    <s v="No's"/>
    <n v="105754"/>
    <n v="211508"/>
    <m/>
    <m/>
  </r>
  <r>
    <n v="1"/>
    <x v="3"/>
    <x v="29"/>
    <s v="* Clusters 3,4,5,6,7,8 : 3400 CFM"/>
    <m/>
    <n v="6"/>
    <s v="No's"/>
    <n v="77924"/>
    <n v="467544"/>
    <m/>
    <m/>
  </r>
  <r>
    <n v="1"/>
    <x v="3"/>
    <x v="29"/>
    <s v="* Cluster 9 : 1100 CFM"/>
    <m/>
    <n v="1"/>
    <s v="No's"/>
    <n v="50094"/>
    <n v="50094"/>
    <m/>
    <m/>
  </r>
  <r>
    <n v="1"/>
    <x v="3"/>
    <x v="30"/>
    <s v="Cluster 1 &amp; 2 : Scrubber Made of 3mm PP + 2mm FRP"/>
    <m/>
    <n v="2"/>
    <s v="No.s"/>
    <n v="229598"/>
    <n v="459196"/>
    <m/>
    <m/>
  </r>
  <r>
    <n v="1"/>
    <x v="3"/>
    <x v="33"/>
    <s v="Clusters 3,4,5,6,7,8 : Scrubber (Made of 3mm PP + 2mm FRP"/>
    <m/>
    <n v="6"/>
    <s v="No.s"/>
    <n v="215683"/>
    <n v="1294098"/>
    <m/>
    <m/>
  </r>
  <r>
    <n v="1"/>
    <x v="3"/>
    <x v="34"/>
    <s v="Cluster 9 : Scrubber (Made of 3mm PP + 2mm FRP"/>
    <m/>
    <n v="1"/>
    <s v="No.s"/>
    <n v="168594"/>
    <n v="168594"/>
    <m/>
    <m/>
  </r>
  <r>
    <n v="1"/>
    <x v="4"/>
    <x v="35"/>
    <s v="1/8&quot; Gas Purification Panel for 4 gases ( H2,N2,Air &amp; He )"/>
    <m/>
    <n v="2"/>
    <s v="Set"/>
    <n v="32331"/>
    <n v="64662"/>
    <m/>
    <m/>
  </r>
  <r>
    <n v="2"/>
    <x v="4"/>
    <x v="35"/>
    <s v="1/8&quot; Gas Control Boxes for 4 gases ( H2,N2,Air &amp; He )"/>
    <m/>
    <n v="8"/>
    <s v="Set"/>
    <n v="10881"/>
    <n v="87048"/>
    <m/>
    <m/>
  </r>
  <r>
    <n v="3"/>
    <x v="4"/>
    <x v="35"/>
    <s v="Gas Selector Box for Nitrogen &amp; Helium"/>
    <m/>
    <n v="8"/>
    <s v="Nos"/>
    <n v="5031"/>
    <n v="40248"/>
    <m/>
    <m/>
  </r>
  <r>
    <n v="4"/>
    <x v="4"/>
    <x v="35"/>
    <s v="1/8&quot; Online particle Filter"/>
    <m/>
    <n v="8"/>
    <s v="Nos"/>
    <n v="1196"/>
    <n v="9568"/>
    <m/>
    <m/>
  </r>
  <r>
    <n v="5"/>
    <x v="4"/>
    <x v="35"/>
    <s v="1/8&quot; Pretreated Tubing with Color Coated Sleevs"/>
    <m/>
    <n v="600"/>
    <s v="Mtrs"/>
    <n v="82"/>
    <n v="49200"/>
    <m/>
    <m/>
  </r>
  <r>
    <n v="6"/>
    <x v="4"/>
    <x v="35"/>
    <s v="1/8&quot; Nuts and Ferrules"/>
    <m/>
    <n v="250"/>
    <s v="Nos"/>
    <n v="62"/>
    <n v="15500"/>
    <m/>
    <m/>
  </r>
  <r>
    <n v="7"/>
    <x v="4"/>
    <x v="35"/>
    <s v="1/8&quot; T joint"/>
    <m/>
    <n v="32"/>
    <s v="Nos"/>
    <n v="351"/>
    <n v="11232"/>
    <m/>
    <m/>
  </r>
  <r>
    <n v="8"/>
    <x v="4"/>
    <x v="35"/>
    <s v="1/8'' Regulator Adaptor"/>
    <m/>
    <n v="8"/>
    <s v="Nos"/>
    <n v="351"/>
    <n v="2808"/>
    <m/>
    <m/>
  </r>
  <r>
    <n v="9"/>
    <x v="4"/>
    <x v="35"/>
    <s v="Two stage Cylinders Regulator for 4 gases ( H2,N2,Air &amp; He )"/>
    <m/>
    <n v="8"/>
    <s v="Nos"/>
    <n v="5031"/>
    <n v="40248"/>
    <m/>
    <m/>
  </r>
  <r>
    <n v="10"/>
    <x v="4"/>
    <x v="35"/>
    <s v="Two Cylinder high pressure Manifolds for 4 gases ( H2,N2,Air &amp; He )"/>
    <m/>
    <n v="8"/>
    <s v="Nos"/>
    <n v="5031"/>
    <n v="40248"/>
    <m/>
    <m/>
  </r>
  <r>
    <n v="11"/>
    <x v="4"/>
    <x v="35"/>
    <s v="SS Braided High Pressure Pigtails for 4 gases ( H2,N2,Air &amp; He )"/>
    <m/>
    <n v="16"/>
    <s v="Nos"/>
    <n v="1261"/>
    <n v="20176"/>
    <m/>
    <m/>
  </r>
  <r>
    <n v="12"/>
    <x v="4"/>
    <x v="35"/>
    <s v="Cylinder Holding &amp; Mounting Bracket"/>
    <m/>
    <n v="16"/>
    <s v="Nos"/>
    <n v="611"/>
    <n v="9776"/>
    <m/>
    <m/>
  </r>
  <r>
    <n v="13"/>
    <x v="4"/>
    <x v="35"/>
    <s v="Aluminium Powder Coated Casing"/>
    <m/>
    <n v="120"/>
    <s v="Feet"/>
    <n v="160"/>
    <n v="19200"/>
    <m/>
    <m/>
  </r>
  <r>
    <n v="1"/>
    <x v="4"/>
    <x v="36"/>
    <s v="1/4&quot;OD to 1/8&quot;OD Bulkhead"/>
    <m/>
    <n v="1"/>
    <s v="Nos"/>
    <n v="351"/>
    <n v="351"/>
    <m/>
    <m/>
  </r>
  <r>
    <n v="2"/>
    <x v="4"/>
    <x v="36"/>
    <s v="1/8&quot; Gas Purification Panel for Argon"/>
    <m/>
    <n v="1"/>
    <s v="Nos"/>
    <n v="11409"/>
    <n v="11409"/>
    <m/>
    <m/>
  </r>
  <r>
    <n v="3"/>
    <x v="4"/>
    <x v="36"/>
    <s v="1/8&quot; Online Particle Filter"/>
    <m/>
    <n v="1"/>
    <s v="Nos"/>
    <n v="1131"/>
    <n v="1131"/>
    <m/>
    <m/>
  </r>
  <r>
    <n v="4"/>
    <x v="4"/>
    <x v="36"/>
    <s v="1/4&quot; Regulator Adapters"/>
    <m/>
    <n v="1"/>
    <s v="Nos"/>
    <n v="351"/>
    <n v="351"/>
    <m/>
    <m/>
  </r>
  <r>
    <n v="5"/>
    <x v="4"/>
    <x v="36"/>
    <s v="Two Cylinder High Pressure Manifold for Argon"/>
    <m/>
    <n v="1"/>
    <s v="Nos"/>
    <n v="5031"/>
    <n v="5031"/>
    <m/>
    <m/>
  </r>
  <r>
    <n v="6"/>
    <x v="4"/>
    <x v="36"/>
    <s v="Two Stage Cylinder Regulator for Argon"/>
    <m/>
    <n v="1"/>
    <s v="Nos"/>
    <n v="5031"/>
    <n v="5031"/>
    <m/>
    <m/>
  </r>
  <r>
    <n v="7"/>
    <x v="4"/>
    <x v="36"/>
    <s v="SS Braided High Pressure Pigtails with Safety Rope"/>
    <m/>
    <n v="2"/>
    <s v="Nos"/>
    <n v="1261"/>
    <n v="2522"/>
    <m/>
    <m/>
  </r>
  <r>
    <n v="8"/>
    <x v="4"/>
    <x v="36"/>
    <s v="Cylinder Holding &amp; Mounting Bracket with Chains"/>
    <m/>
    <n v="2"/>
    <s v="Nos"/>
    <n v="611"/>
    <n v="1222"/>
    <m/>
    <m/>
  </r>
  <r>
    <n v="9"/>
    <x v="4"/>
    <x v="36"/>
    <s v="1/8&quot; Gas Control Boxes 0- 2 kg"/>
    <m/>
    <n v="1"/>
    <s v="Nos"/>
    <n v="4381"/>
    <n v="4381"/>
    <m/>
    <m/>
  </r>
  <r>
    <n v="10"/>
    <x v="4"/>
    <x v="36"/>
    <s v="1/8&quot; SS Pre-treated Tubing with Colour Coated Sleeves"/>
    <m/>
    <n v="50"/>
    <s v="Mtr"/>
    <n v="82"/>
    <n v="4100"/>
    <m/>
    <m/>
  </r>
  <r>
    <n v="11"/>
    <x v="4"/>
    <x v="36"/>
    <s v="Aluminium Powder Coated Casing"/>
    <m/>
    <n v="32"/>
    <s v="Feet"/>
    <n v="160"/>
    <n v="5120"/>
    <m/>
    <m/>
  </r>
  <r>
    <n v="4"/>
    <x v="4"/>
    <x v="36"/>
    <s v="Compressed Air For Fume Hoods - 38 No's"/>
    <s v="1/2&quot;, 3/8&quot; &amp; 1/4&quot; OD SS 304 Pipe along with required L bends, Unions, Tee Joints, Reducing Tee Joints, Ball valves, Fittings with Nuts &amp; Ferrules, Manifolds, Regulatos, Pig tails, Cylinder Holders, Required supporting Materials &amp; Hard ware."/>
    <n v="1"/>
    <s v="Lot"/>
    <n v="706800"/>
    <n v="706800"/>
    <m/>
    <m/>
  </r>
  <r>
    <n v="5"/>
    <x v="4"/>
    <x v="36"/>
    <s v="Nitrogen Line For Fume Hoods - 38 No's"/>
    <s v="1/2&quot;, 3/8&quot; &amp; 1/4&quot; OD SS 304 Pipe along with required L bends, Unions, Tee Joints, Reducing Tee Joints, Ball valves, Fittings with Nuts &amp; Ferrules, Manifolds, Regulatos, Pig tails, Cylinder Holders, Required supporting Materials &amp; Hard ware."/>
    <n v="1"/>
    <s v="Lot"/>
    <n v="706800"/>
    <n v="706800"/>
    <m/>
    <m/>
  </r>
  <r>
    <n v="6"/>
    <x v="4"/>
    <x v="36"/>
    <s v="Vacuum Line For Fume Hoods - 38 No's"/>
    <s v="2&quot;,1&quot; &amp; 3/8&quot; NB SS 304 Pipe along with required L bends, Unions, Tee Joints, Reducing Tee Joints, Ball valves, Fittings with Nuts &amp; Ferrules Required supporting Materials &amp; Hard ware."/>
    <n v="1"/>
    <s v="Lot"/>
    <n v="1071600"/>
    <n v="1071600"/>
    <m/>
    <m/>
  </r>
  <r>
    <n v="7"/>
    <x v="4"/>
    <x v="36"/>
    <s v="Raw Water for Fume Hoods - 38 nos., Sinks - 25 nos. &amp; Eye Washers - 23 nos."/>
    <s v="1 1/2&quot;, 1&quot; &amp; 1/2&quot; CPVC Pipe along with required L bends, Unions, Tee Joints, Reducing Tee Joints, Ball valves, Fittings with Nuts &amp; Ferrules Required supporting Materials &amp; Hard ware."/>
    <n v="1"/>
    <s v="Lot"/>
    <n v="529200"/>
    <n v="529200"/>
    <m/>
    <m/>
  </r>
  <r>
    <n v="8"/>
    <x v="4"/>
    <x v="36"/>
    <s v="Structrural Support for Above Utility Lining"/>
    <s v="Anchor fatner for cealing support with nuts MS angular support for clamps PP Clamps for Pipe &amp; Tube Support Studrods for celing supports Washers and check nuts for gas line support rods Supply &amp; Installation for Process Drainage System and Accessories"/>
    <n v="1"/>
    <s v="Lot"/>
    <n v="224400"/>
    <n v="224400"/>
    <m/>
    <m/>
  </r>
  <r>
    <s v="a"/>
    <x v="5"/>
    <x v="37"/>
    <s v="110 mm OD - HDPE pipes"/>
    <m/>
    <n v="150"/>
    <m/>
    <n v="1680"/>
    <n v="252000"/>
    <m/>
    <m/>
  </r>
  <r>
    <s v="b"/>
    <x v="5"/>
    <x v="37"/>
    <s v="75 mm OD - HDPE pipes"/>
    <m/>
    <n v="120"/>
    <m/>
    <n v="1440"/>
    <n v="172800"/>
    <m/>
    <m/>
  </r>
  <r>
    <s v="c"/>
    <x v="5"/>
    <x v="37"/>
    <s v="50 mm OD - HDPE pipes"/>
    <m/>
    <n v="170"/>
    <m/>
    <n v="1068"/>
    <n v="181560"/>
    <m/>
    <m/>
  </r>
  <r>
    <n v="2"/>
    <x v="5"/>
    <x v="37"/>
    <s v="Fume Hood Drain Connector (Including Stub end Flange and Threaded Flange)"/>
    <m/>
    <n v="3"/>
    <s v="Nos"/>
    <n v="990"/>
    <n v="2970"/>
    <m/>
    <m/>
  </r>
  <r>
    <n v="3"/>
    <x v="5"/>
    <x v="37"/>
    <s v="Sink Drain Connector (Including Stub end Flange and Threaded Flange)"/>
    <m/>
    <n v="23"/>
    <s v="Nos"/>
    <n v="792"/>
    <n v="18216"/>
    <m/>
    <m/>
  </r>
  <r>
    <n v="4"/>
    <x v="5"/>
    <x v="37"/>
    <s v="Matt finish) Double Sealwith Bottom Discharge Drain Trap. Confirming to Pharamceutical Grade._x000a_Drain trap fabricated with 1.6mm sheet, consist of 1 Nos Perforated plate, Removable 2 Nos Seal with sislicon Gasket, Covering Lid of 2mm Thick to be provided for Drain trap._x000a_Installtion included Core cutting In slab, Sealing of Core cut Gap with Water proofing element._x000a_Size : Drain Trapas per site conditions with Outlet size 50 mm"/>
    <m/>
    <n v="8"/>
    <m/>
    <n v="9900"/>
    <n v="7920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A8B1250-705E-47C2-845C-B1AA35713284}" name="Summary" cacheId="4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2:D59" firstHeaderRow="0" firstDataRow="1" firstDataCol="1"/>
  <pivotFields count="12">
    <pivotField compact="0" outline="0" showAll="0"/>
    <pivotField axis="axisRow" compact="0" outline="0" showAll="0">
      <items count="7">
        <item x="0"/>
        <item x="1"/>
        <item x="5"/>
        <item x="4"/>
        <item x="2"/>
        <item x="3"/>
        <item t="default"/>
      </items>
    </pivotField>
    <pivotField compact="0" outline="0" showAll="0"/>
    <pivotField compact="0" outline="0" showAll="0"/>
    <pivotField compact="0" outline="0" showAll="0"/>
    <pivotField compact="0" outline="0" showAll="0"/>
    <pivotField compact="0" outline="0" showAll="0"/>
    <pivotField compact="0" numFmtId="3" outline="0" showAll="0"/>
    <pivotField dataField="1" compact="0" numFmtId="3" outline="0" showAll="0"/>
    <pivotField compact="0" outline="0" showAll="0"/>
    <pivotField dataField="1" compact="0" outline="0" showAll="0"/>
    <pivotField dataField="1" compact="0" outline="0" dragToRow="0" dragToCol="0" dragToPage="0" showAll="0" defaultSubtotal="0"/>
  </pivotFields>
  <rowFields count="1">
    <field x="1"/>
  </rowFields>
  <rowItems count="7">
    <i>
      <x/>
    </i>
    <i>
      <x v="1"/>
    </i>
    <i>
      <x v="2"/>
    </i>
    <i>
      <x v="3"/>
    </i>
    <i>
      <x v="4"/>
    </i>
    <i>
      <x v="5"/>
    </i>
    <i t="grand">
      <x/>
    </i>
  </rowItems>
  <colFields count="1">
    <field x="-2"/>
  </colFields>
  <colItems count="3">
    <i>
      <x/>
    </i>
    <i i="1">
      <x v="1"/>
    </i>
    <i i="2">
      <x v="2"/>
    </i>
  </colItems>
  <dataFields count="3">
    <dataField name="Supply " fld="8" baseField="0" baseItem="0" numFmtId="3"/>
    <dataField name="Service " fld="10" baseField="0" baseItem="0"/>
    <dataField name="Grand Total" fld="11" baseField="0" baseItem="0"/>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7147A5D-02A2-4744-A095-DF6ED7FEE08A}" name="Detailed" cacheId="4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3:D47" firstHeaderRow="0" firstDataRow="1" firstDataCol="2"/>
  <pivotFields count="12">
    <pivotField compact="0" outline="0" showAll="0"/>
    <pivotField axis="axisRow" compact="0" outline="0" showAll="0" defaultSubtotal="0">
      <items count="6">
        <item x="0"/>
        <item x="1"/>
        <item x="5"/>
        <item x="4"/>
        <item x="2"/>
        <item x="3"/>
      </items>
    </pivotField>
    <pivotField axis="axisRow" compact="0" outline="0" showAll="0">
      <items count="39">
        <item x="31"/>
        <item x="34"/>
        <item x="33"/>
        <item x="30"/>
        <item x="28"/>
        <item x="5"/>
        <item x="6"/>
        <item x="36"/>
        <item x="14"/>
        <item x="2"/>
        <item x="35"/>
        <item x="3"/>
        <item x="4"/>
        <item x="17"/>
        <item x="7"/>
        <item x="12"/>
        <item x="1"/>
        <item x="0"/>
        <item x="9"/>
        <item x="27"/>
        <item x="21"/>
        <item x="22"/>
        <item x="23"/>
        <item x="24"/>
        <item x="25"/>
        <item x="26"/>
        <item x="8"/>
        <item x="11"/>
        <item x="16"/>
        <item x="29"/>
        <item x="32"/>
        <item x="10"/>
        <item x="19"/>
        <item x="15"/>
        <item x="37"/>
        <item x="20"/>
        <item x="18"/>
        <item x="13"/>
        <item t="default"/>
      </items>
    </pivotField>
    <pivotField compact="0" outline="0" showAll="0"/>
    <pivotField compact="0" outline="0" showAll="0"/>
    <pivotField compact="0" outline="0" showAll="0"/>
    <pivotField compact="0" outline="0" showAll="0"/>
    <pivotField compact="0" numFmtId="3" outline="0" showAll="0"/>
    <pivotField dataField="1" compact="0" numFmtId="3" outline="0" showAll="0"/>
    <pivotField compact="0" outline="0" showAll="0"/>
    <pivotField dataField="1" compact="0" outline="0" showAll="0"/>
    <pivotField compact="0" outline="0" dragToRow="0" dragToCol="0" dragToPage="0" showAll="0" defaultSubtotal="0"/>
  </pivotFields>
  <rowFields count="2">
    <field x="1"/>
    <field x="2"/>
  </rowFields>
  <rowItems count="44">
    <i>
      <x/>
      <x v="5"/>
    </i>
    <i r="1">
      <x v="6"/>
    </i>
    <i r="1">
      <x v="8"/>
    </i>
    <i r="1">
      <x v="9"/>
    </i>
    <i r="1">
      <x v="11"/>
    </i>
    <i r="1">
      <x v="12"/>
    </i>
    <i r="1">
      <x v="13"/>
    </i>
    <i r="1">
      <x v="14"/>
    </i>
    <i r="1">
      <x v="15"/>
    </i>
    <i r="1">
      <x v="16"/>
    </i>
    <i r="1">
      <x v="17"/>
    </i>
    <i r="1">
      <x v="18"/>
    </i>
    <i r="1">
      <x v="26"/>
    </i>
    <i r="1">
      <x v="27"/>
    </i>
    <i r="1">
      <x v="28"/>
    </i>
    <i r="1">
      <x v="31"/>
    </i>
    <i r="1">
      <x v="33"/>
    </i>
    <i r="1">
      <x v="36"/>
    </i>
    <i r="1">
      <x v="37"/>
    </i>
    <i>
      <x v="1"/>
      <x v="5"/>
    </i>
    <i r="1">
      <x v="6"/>
    </i>
    <i r="1">
      <x v="13"/>
    </i>
    <i r="1">
      <x v="14"/>
    </i>
    <i r="1">
      <x v="19"/>
    </i>
    <i r="1">
      <x v="20"/>
    </i>
    <i r="1">
      <x v="21"/>
    </i>
    <i r="1">
      <x v="22"/>
    </i>
    <i r="1">
      <x v="23"/>
    </i>
    <i r="1">
      <x v="24"/>
    </i>
    <i r="1">
      <x v="25"/>
    </i>
    <i r="1">
      <x v="32"/>
    </i>
    <i r="1">
      <x v="35"/>
    </i>
    <i>
      <x v="2"/>
      <x v="34"/>
    </i>
    <i>
      <x v="3"/>
      <x v="7"/>
    </i>
    <i r="1">
      <x v="10"/>
    </i>
    <i>
      <x v="4"/>
      <x v="19"/>
    </i>
    <i>
      <x v="5"/>
      <x/>
    </i>
    <i r="1">
      <x v="1"/>
    </i>
    <i r="1">
      <x v="2"/>
    </i>
    <i r="1">
      <x v="3"/>
    </i>
    <i r="1">
      <x v="4"/>
    </i>
    <i r="1">
      <x v="29"/>
    </i>
    <i r="1">
      <x v="30"/>
    </i>
    <i t="grand">
      <x/>
    </i>
  </rowItems>
  <colFields count="1">
    <field x="-2"/>
  </colFields>
  <colItems count="2">
    <i>
      <x/>
    </i>
    <i i="1">
      <x v="1"/>
    </i>
  </colItems>
  <dataFields count="2">
    <dataField name="Sum Supply" fld="8" baseField="0" baseItem="0" numFmtId="3"/>
    <dataField name="Sum Service" fld="10" baseField="0" baseItem="0"/>
  </dataFields>
  <formats count="1">
    <format dxfId="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1203"/>
  <sheetViews>
    <sheetView topLeftCell="D1" workbookViewId="0">
      <selection activeCell="A3" sqref="A3:G1203"/>
    </sheetView>
  </sheetViews>
  <sheetFormatPr defaultRowHeight="14.6" x14ac:dyDescent="0.4"/>
  <sheetData>
    <row r="1" spans="1:9" ht="23.6" customHeight="1" x14ac:dyDescent="0.4">
      <c r="A1" t="s">
        <v>8</v>
      </c>
      <c r="E1" t="s">
        <v>9</v>
      </c>
    </row>
    <row r="2" spans="1:9" ht="29.15" x14ac:dyDescent="0.4">
      <c r="A2" s="1" t="s">
        <v>10</v>
      </c>
      <c r="B2" s="1" t="s">
        <v>0</v>
      </c>
      <c r="C2" s="1" t="s">
        <v>1</v>
      </c>
      <c r="D2" s="1" t="s">
        <v>2</v>
      </c>
      <c r="E2" s="1" t="s">
        <v>3</v>
      </c>
      <c r="F2" s="2" t="s">
        <v>4</v>
      </c>
      <c r="G2" s="2" t="s">
        <v>5</v>
      </c>
      <c r="H2" s="2" t="s">
        <v>6</v>
      </c>
      <c r="I2" s="2" t="s">
        <v>7</v>
      </c>
    </row>
    <row r="3" spans="1:9" x14ac:dyDescent="0.4">
      <c r="C3" t="s">
        <v>11</v>
      </c>
    </row>
    <row r="4" spans="1:9" x14ac:dyDescent="0.4">
      <c r="A4">
        <v>1</v>
      </c>
      <c r="B4" t="s">
        <v>12</v>
      </c>
      <c r="C4" t="s">
        <v>13</v>
      </c>
    </row>
    <row r="5" spans="1:9" x14ac:dyDescent="0.4">
      <c r="A5">
        <v>1.1000000000000001</v>
      </c>
      <c r="B5" t="s">
        <v>12</v>
      </c>
      <c r="C5" t="s">
        <v>14</v>
      </c>
      <c r="D5">
        <v>1</v>
      </c>
      <c r="E5" t="s">
        <v>15</v>
      </c>
      <c r="F5">
        <v>123356</v>
      </c>
      <c r="G5">
        <v>123356</v>
      </c>
    </row>
    <row r="6" spans="1:9" x14ac:dyDescent="0.4">
      <c r="B6" t="s">
        <v>12</v>
      </c>
      <c r="C6" t="s">
        <v>16</v>
      </c>
    </row>
    <row r="7" spans="1:9" x14ac:dyDescent="0.4">
      <c r="B7" t="s">
        <v>12</v>
      </c>
      <c r="C7" t="s">
        <v>17</v>
      </c>
    </row>
    <row r="8" spans="1:9" x14ac:dyDescent="0.4">
      <c r="B8" t="s">
        <v>12</v>
      </c>
      <c r="C8" t="s">
        <v>18</v>
      </c>
    </row>
    <row r="9" spans="1:9" x14ac:dyDescent="0.4">
      <c r="B9" t="s">
        <v>12</v>
      </c>
      <c r="C9" t="s">
        <v>19</v>
      </c>
    </row>
    <row r="10" spans="1:9" x14ac:dyDescent="0.4">
      <c r="B10" t="s">
        <v>12</v>
      </c>
      <c r="C10" t="s">
        <v>20</v>
      </c>
    </row>
    <row r="11" spans="1:9" x14ac:dyDescent="0.4">
      <c r="B11" t="s">
        <v>12</v>
      </c>
      <c r="C11" t="s">
        <v>21</v>
      </c>
    </row>
    <row r="12" spans="1:9" x14ac:dyDescent="0.4">
      <c r="B12" t="s">
        <v>12</v>
      </c>
      <c r="C12" t="s">
        <v>22</v>
      </c>
    </row>
    <row r="13" spans="1:9" x14ac:dyDescent="0.4">
      <c r="B13" t="s">
        <v>12</v>
      </c>
      <c r="C13" t="s">
        <v>23</v>
      </c>
    </row>
    <row r="14" spans="1:9" x14ac:dyDescent="0.4">
      <c r="B14" t="s">
        <v>12</v>
      </c>
      <c r="C14" t="s">
        <v>24</v>
      </c>
    </row>
    <row r="15" spans="1:9" x14ac:dyDescent="0.4">
      <c r="B15" t="s">
        <v>12</v>
      </c>
      <c r="C15" t="s">
        <v>25</v>
      </c>
    </row>
    <row r="16" spans="1:9" x14ac:dyDescent="0.4">
      <c r="B16" t="s">
        <v>12</v>
      </c>
      <c r="C16" t="s">
        <v>26</v>
      </c>
    </row>
    <row r="17" spans="1:7" x14ac:dyDescent="0.4">
      <c r="B17" t="s">
        <v>12</v>
      </c>
      <c r="C17" t="s">
        <v>27</v>
      </c>
    </row>
    <row r="18" spans="1:7" x14ac:dyDescent="0.4">
      <c r="B18" t="s">
        <v>12</v>
      </c>
      <c r="C18" t="s">
        <v>28</v>
      </c>
    </row>
    <row r="19" spans="1:7" x14ac:dyDescent="0.4">
      <c r="A19">
        <v>1.2</v>
      </c>
      <c r="B19" t="s">
        <v>12</v>
      </c>
      <c r="C19" t="s">
        <v>29</v>
      </c>
      <c r="D19">
        <v>2</v>
      </c>
      <c r="E19" t="s">
        <v>15</v>
      </c>
      <c r="F19">
        <v>203049</v>
      </c>
      <c r="G19">
        <v>406098</v>
      </c>
    </row>
    <row r="20" spans="1:7" x14ac:dyDescent="0.4">
      <c r="B20" t="s">
        <v>12</v>
      </c>
      <c r="C20" t="s">
        <v>30</v>
      </c>
    </row>
    <row r="21" spans="1:7" x14ac:dyDescent="0.4">
      <c r="B21" t="s">
        <v>12</v>
      </c>
      <c r="C21" t="s">
        <v>17</v>
      </c>
    </row>
    <row r="22" spans="1:7" x14ac:dyDescent="0.4">
      <c r="B22" t="s">
        <v>12</v>
      </c>
      <c r="C22" t="s">
        <v>18</v>
      </c>
    </row>
    <row r="23" spans="1:7" x14ac:dyDescent="0.4">
      <c r="B23" t="s">
        <v>12</v>
      </c>
      <c r="C23" t="s">
        <v>31</v>
      </c>
    </row>
    <row r="24" spans="1:7" x14ac:dyDescent="0.4">
      <c r="B24" t="s">
        <v>12</v>
      </c>
      <c r="C24" t="s">
        <v>32</v>
      </c>
    </row>
    <row r="25" spans="1:7" x14ac:dyDescent="0.4">
      <c r="B25" t="s">
        <v>12</v>
      </c>
      <c r="C25" t="s">
        <v>33</v>
      </c>
    </row>
    <row r="26" spans="1:7" x14ac:dyDescent="0.4">
      <c r="B26" t="s">
        <v>12</v>
      </c>
      <c r="C26" t="s">
        <v>22</v>
      </c>
    </row>
    <row r="27" spans="1:7" x14ac:dyDescent="0.4">
      <c r="B27" t="s">
        <v>12</v>
      </c>
      <c r="C27" t="s">
        <v>34</v>
      </c>
    </row>
    <row r="28" spans="1:7" x14ac:dyDescent="0.4">
      <c r="B28" t="s">
        <v>12</v>
      </c>
      <c r="C28" t="s">
        <v>35</v>
      </c>
    </row>
    <row r="29" spans="1:7" x14ac:dyDescent="0.4">
      <c r="B29" t="s">
        <v>12</v>
      </c>
      <c r="C29" t="s">
        <v>26</v>
      </c>
    </row>
    <row r="30" spans="1:7" x14ac:dyDescent="0.4">
      <c r="B30" t="s">
        <v>12</v>
      </c>
      <c r="C30" t="s">
        <v>36</v>
      </c>
    </row>
    <row r="31" spans="1:7" x14ac:dyDescent="0.4">
      <c r="B31" t="s">
        <v>12</v>
      </c>
      <c r="C31" t="s">
        <v>37</v>
      </c>
    </row>
    <row r="32" spans="1:7" x14ac:dyDescent="0.4">
      <c r="A32">
        <v>1.3</v>
      </c>
      <c r="B32" t="s">
        <v>12</v>
      </c>
      <c r="C32" t="s">
        <v>14</v>
      </c>
      <c r="D32">
        <v>1</v>
      </c>
      <c r="E32" t="s">
        <v>15</v>
      </c>
      <c r="F32">
        <v>97708</v>
      </c>
      <c r="G32">
        <v>97708</v>
      </c>
    </row>
    <row r="33" spans="1:7" x14ac:dyDescent="0.4">
      <c r="B33" t="s">
        <v>12</v>
      </c>
      <c r="C33" t="s">
        <v>38</v>
      </c>
    </row>
    <row r="34" spans="1:7" x14ac:dyDescent="0.4">
      <c r="B34" t="s">
        <v>12</v>
      </c>
      <c r="C34" t="s">
        <v>17</v>
      </c>
    </row>
    <row r="35" spans="1:7" x14ac:dyDescent="0.4">
      <c r="B35" t="s">
        <v>12</v>
      </c>
      <c r="C35" t="s">
        <v>18</v>
      </c>
    </row>
    <row r="36" spans="1:7" x14ac:dyDescent="0.4">
      <c r="B36" t="s">
        <v>12</v>
      </c>
      <c r="C36" t="s">
        <v>39</v>
      </c>
    </row>
    <row r="37" spans="1:7" x14ac:dyDescent="0.4">
      <c r="B37" t="s">
        <v>12</v>
      </c>
      <c r="C37" t="s">
        <v>20</v>
      </c>
    </row>
    <row r="38" spans="1:7" x14ac:dyDescent="0.4">
      <c r="B38" t="s">
        <v>12</v>
      </c>
      <c r="C38" t="s">
        <v>22</v>
      </c>
    </row>
    <row r="39" spans="1:7" x14ac:dyDescent="0.4">
      <c r="B39" t="s">
        <v>12</v>
      </c>
      <c r="C39" t="s">
        <v>23</v>
      </c>
    </row>
    <row r="40" spans="1:7" x14ac:dyDescent="0.4">
      <c r="B40" t="s">
        <v>12</v>
      </c>
      <c r="C40" t="s">
        <v>24</v>
      </c>
    </row>
    <row r="41" spans="1:7" x14ac:dyDescent="0.4">
      <c r="B41" t="s">
        <v>12</v>
      </c>
      <c r="C41" t="s">
        <v>25</v>
      </c>
    </row>
    <row r="42" spans="1:7" x14ac:dyDescent="0.4">
      <c r="B42" t="s">
        <v>12</v>
      </c>
      <c r="C42" t="s">
        <v>26</v>
      </c>
    </row>
    <row r="43" spans="1:7" x14ac:dyDescent="0.4">
      <c r="B43" t="s">
        <v>12</v>
      </c>
      <c r="C43" t="s">
        <v>40</v>
      </c>
    </row>
    <row r="44" spans="1:7" x14ac:dyDescent="0.4">
      <c r="B44" t="s">
        <v>12</v>
      </c>
      <c r="C44" t="s">
        <v>41</v>
      </c>
    </row>
    <row r="45" spans="1:7" x14ac:dyDescent="0.4">
      <c r="A45">
        <v>2</v>
      </c>
      <c r="B45" t="s">
        <v>12</v>
      </c>
      <c r="C45" t="s">
        <v>42</v>
      </c>
    </row>
    <row r="46" spans="1:7" x14ac:dyDescent="0.4">
      <c r="A46">
        <v>2.1</v>
      </c>
      <c r="B46" t="s">
        <v>12</v>
      </c>
      <c r="C46" t="s">
        <v>43</v>
      </c>
      <c r="D46">
        <v>2</v>
      </c>
      <c r="E46" t="s">
        <v>15</v>
      </c>
      <c r="F46">
        <v>46900</v>
      </c>
      <c r="G46">
        <v>93800</v>
      </c>
    </row>
    <row r="47" spans="1:7" x14ac:dyDescent="0.4">
      <c r="B47" t="s">
        <v>12</v>
      </c>
      <c r="C47" t="s">
        <v>44</v>
      </c>
    </row>
    <row r="48" spans="1:7" x14ac:dyDescent="0.4">
      <c r="B48" t="s">
        <v>12</v>
      </c>
      <c r="C48" t="s">
        <v>45</v>
      </c>
    </row>
    <row r="49" spans="1:7" x14ac:dyDescent="0.4">
      <c r="B49" t="s">
        <v>12</v>
      </c>
      <c r="C49" t="s">
        <v>18</v>
      </c>
    </row>
    <row r="50" spans="1:7" x14ac:dyDescent="0.4">
      <c r="B50" t="s">
        <v>12</v>
      </c>
      <c r="C50" t="s">
        <v>46</v>
      </c>
    </row>
    <row r="51" spans="1:7" x14ac:dyDescent="0.4">
      <c r="A51">
        <v>2.2000000000000002</v>
      </c>
      <c r="B51" t="s">
        <v>12</v>
      </c>
      <c r="C51" t="s">
        <v>47</v>
      </c>
      <c r="D51">
        <v>1</v>
      </c>
      <c r="E51" t="s">
        <v>15</v>
      </c>
      <c r="F51">
        <v>100607</v>
      </c>
      <c r="G51">
        <v>100607</v>
      </c>
    </row>
    <row r="52" spans="1:7" x14ac:dyDescent="0.4">
      <c r="B52" t="s">
        <v>12</v>
      </c>
      <c r="C52" t="s">
        <v>48</v>
      </c>
    </row>
    <row r="53" spans="1:7" x14ac:dyDescent="0.4">
      <c r="B53" t="s">
        <v>12</v>
      </c>
      <c r="C53" t="s">
        <v>17</v>
      </c>
    </row>
    <row r="54" spans="1:7" x14ac:dyDescent="0.4">
      <c r="B54" t="s">
        <v>12</v>
      </c>
      <c r="C54" t="s">
        <v>18</v>
      </c>
    </row>
    <row r="55" spans="1:7" x14ac:dyDescent="0.4">
      <c r="B55" t="s">
        <v>12</v>
      </c>
      <c r="C55" t="s">
        <v>49</v>
      </c>
    </row>
    <row r="56" spans="1:7" x14ac:dyDescent="0.4">
      <c r="B56" t="s">
        <v>12</v>
      </c>
      <c r="C56" t="s">
        <v>50</v>
      </c>
    </row>
    <row r="57" spans="1:7" x14ac:dyDescent="0.4">
      <c r="B57" t="s">
        <v>12</v>
      </c>
      <c r="C57" t="s">
        <v>51</v>
      </c>
    </row>
    <row r="58" spans="1:7" x14ac:dyDescent="0.4">
      <c r="B58" t="s">
        <v>12</v>
      </c>
      <c r="C58" t="s">
        <v>52</v>
      </c>
    </row>
    <row r="59" spans="1:7" x14ac:dyDescent="0.4">
      <c r="B59" t="s">
        <v>12</v>
      </c>
      <c r="C59" t="s">
        <v>53</v>
      </c>
    </row>
    <row r="60" spans="1:7" x14ac:dyDescent="0.4">
      <c r="B60" t="s">
        <v>12</v>
      </c>
      <c r="C60" t="s">
        <v>54</v>
      </c>
    </row>
    <row r="61" spans="1:7" x14ac:dyDescent="0.4">
      <c r="B61" t="s">
        <v>12</v>
      </c>
      <c r="C61" t="s">
        <v>55</v>
      </c>
    </row>
    <row r="62" spans="1:7" x14ac:dyDescent="0.4">
      <c r="B62" t="s">
        <v>12</v>
      </c>
      <c r="C62" t="s">
        <v>56</v>
      </c>
    </row>
    <row r="63" spans="1:7" x14ac:dyDescent="0.4">
      <c r="B63" t="s">
        <v>12</v>
      </c>
      <c r="C63" t="s">
        <v>22</v>
      </c>
    </row>
    <row r="64" spans="1:7" x14ac:dyDescent="0.4">
      <c r="B64" t="s">
        <v>12</v>
      </c>
      <c r="C64" t="s">
        <v>23</v>
      </c>
    </row>
    <row r="65" spans="1:7" x14ac:dyDescent="0.4">
      <c r="B65" t="s">
        <v>12</v>
      </c>
      <c r="C65" t="s">
        <v>24</v>
      </c>
    </row>
    <row r="66" spans="1:7" x14ac:dyDescent="0.4">
      <c r="B66" t="s">
        <v>12</v>
      </c>
      <c r="C66" t="s">
        <v>25</v>
      </c>
    </row>
    <row r="67" spans="1:7" x14ac:dyDescent="0.4">
      <c r="B67" t="s">
        <v>12</v>
      </c>
      <c r="C67" t="s">
        <v>26</v>
      </c>
    </row>
    <row r="68" spans="1:7" x14ac:dyDescent="0.4">
      <c r="B68" t="s">
        <v>12</v>
      </c>
      <c r="C68" t="s">
        <v>57</v>
      </c>
    </row>
    <row r="69" spans="1:7" x14ac:dyDescent="0.4">
      <c r="B69" t="s">
        <v>12</v>
      </c>
      <c r="C69" t="s">
        <v>58</v>
      </c>
    </row>
    <row r="70" spans="1:7" x14ac:dyDescent="0.4">
      <c r="A70">
        <v>2.2999999999999998</v>
      </c>
      <c r="B70" t="s">
        <v>12</v>
      </c>
      <c r="C70" t="s">
        <v>59</v>
      </c>
      <c r="D70">
        <v>2</v>
      </c>
      <c r="E70" t="s">
        <v>15</v>
      </c>
      <c r="F70">
        <v>14375</v>
      </c>
      <c r="G70">
        <v>28750</v>
      </c>
    </row>
    <row r="71" spans="1:7" x14ac:dyDescent="0.4">
      <c r="A71">
        <v>3</v>
      </c>
      <c r="B71" t="s">
        <v>12</v>
      </c>
      <c r="C71" t="s">
        <v>60</v>
      </c>
    </row>
    <row r="72" spans="1:7" x14ac:dyDescent="0.4">
      <c r="A72">
        <v>3.1</v>
      </c>
      <c r="B72" t="s">
        <v>12</v>
      </c>
      <c r="C72" t="s">
        <v>61</v>
      </c>
      <c r="D72">
        <v>1</v>
      </c>
      <c r="E72" t="s">
        <v>15</v>
      </c>
      <c r="F72">
        <v>138244</v>
      </c>
      <c r="G72">
        <v>138244</v>
      </c>
    </row>
    <row r="73" spans="1:7" x14ac:dyDescent="0.4">
      <c r="B73" t="s">
        <v>12</v>
      </c>
      <c r="C73" t="s">
        <v>62</v>
      </c>
    </row>
    <row r="74" spans="1:7" x14ac:dyDescent="0.4">
      <c r="B74" t="s">
        <v>12</v>
      </c>
      <c r="C74" t="s">
        <v>17</v>
      </c>
    </row>
    <row r="75" spans="1:7" x14ac:dyDescent="0.4">
      <c r="B75" t="s">
        <v>12</v>
      </c>
      <c r="C75" t="s">
        <v>18</v>
      </c>
    </row>
    <row r="76" spans="1:7" x14ac:dyDescent="0.4">
      <c r="B76" t="s">
        <v>12</v>
      </c>
      <c r="C76" t="s">
        <v>19</v>
      </c>
    </row>
    <row r="77" spans="1:7" x14ac:dyDescent="0.4">
      <c r="B77" t="s">
        <v>12</v>
      </c>
      <c r="C77" t="s">
        <v>63</v>
      </c>
    </row>
    <row r="78" spans="1:7" x14ac:dyDescent="0.4">
      <c r="B78" t="s">
        <v>12</v>
      </c>
      <c r="C78" t="s">
        <v>20</v>
      </c>
    </row>
    <row r="79" spans="1:7" x14ac:dyDescent="0.4">
      <c r="B79" t="s">
        <v>12</v>
      </c>
      <c r="C79" t="s">
        <v>64</v>
      </c>
    </row>
    <row r="80" spans="1:7" x14ac:dyDescent="0.4">
      <c r="B80" t="s">
        <v>12</v>
      </c>
      <c r="C80" t="s">
        <v>65</v>
      </c>
    </row>
    <row r="81" spans="1:7" x14ac:dyDescent="0.4">
      <c r="B81" t="s">
        <v>12</v>
      </c>
      <c r="C81" t="s">
        <v>22</v>
      </c>
    </row>
    <row r="82" spans="1:7" x14ac:dyDescent="0.4">
      <c r="B82" t="s">
        <v>12</v>
      </c>
      <c r="C82" t="s">
        <v>23</v>
      </c>
    </row>
    <row r="83" spans="1:7" x14ac:dyDescent="0.4">
      <c r="B83" t="s">
        <v>12</v>
      </c>
      <c r="C83" t="s">
        <v>24</v>
      </c>
    </row>
    <row r="84" spans="1:7" x14ac:dyDescent="0.4">
      <c r="B84" t="s">
        <v>12</v>
      </c>
      <c r="C84" t="s">
        <v>25</v>
      </c>
    </row>
    <row r="85" spans="1:7" x14ac:dyDescent="0.4">
      <c r="B85" t="s">
        <v>12</v>
      </c>
      <c r="C85" t="s">
        <v>26</v>
      </c>
    </row>
    <row r="86" spans="1:7" x14ac:dyDescent="0.4">
      <c r="B86" t="s">
        <v>12</v>
      </c>
      <c r="C86" t="s">
        <v>66</v>
      </c>
    </row>
    <row r="87" spans="1:7" x14ac:dyDescent="0.4">
      <c r="B87" t="s">
        <v>12</v>
      </c>
      <c r="C87" t="s">
        <v>28</v>
      </c>
    </row>
    <row r="88" spans="1:7" x14ac:dyDescent="0.4">
      <c r="A88">
        <v>3.2</v>
      </c>
      <c r="B88" t="s">
        <v>12</v>
      </c>
      <c r="C88" t="s">
        <v>14</v>
      </c>
      <c r="D88">
        <v>1</v>
      </c>
      <c r="E88" t="s">
        <v>15</v>
      </c>
      <c r="F88">
        <v>81229</v>
      </c>
      <c r="G88">
        <v>81229</v>
      </c>
    </row>
    <row r="89" spans="1:7" x14ac:dyDescent="0.4">
      <c r="B89" t="s">
        <v>12</v>
      </c>
      <c r="C89" t="s">
        <v>67</v>
      </c>
    </row>
    <row r="90" spans="1:7" x14ac:dyDescent="0.4">
      <c r="B90" t="s">
        <v>12</v>
      </c>
      <c r="C90" t="s">
        <v>17</v>
      </c>
    </row>
    <row r="91" spans="1:7" x14ac:dyDescent="0.4">
      <c r="B91" t="s">
        <v>12</v>
      </c>
      <c r="C91" t="s">
        <v>18</v>
      </c>
    </row>
    <row r="92" spans="1:7" x14ac:dyDescent="0.4">
      <c r="B92" t="s">
        <v>12</v>
      </c>
      <c r="C92" t="s">
        <v>68</v>
      </c>
    </row>
    <row r="93" spans="1:7" x14ac:dyDescent="0.4">
      <c r="B93" t="s">
        <v>12</v>
      </c>
      <c r="C93" t="s">
        <v>63</v>
      </c>
    </row>
    <row r="94" spans="1:7" x14ac:dyDescent="0.4">
      <c r="B94" t="s">
        <v>12</v>
      </c>
      <c r="C94" t="s">
        <v>51</v>
      </c>
    </row>
    <row r="95" spans="1:7" x14ac:dyDescent="0.4">
      <c r="B95" t="s">
        <v>12</v>
      </c>
      <c r="C95" t="s">
        <v>22</v>
      </c>
    </row>
    <row r="96" spans="1:7" x14ac:dyDescent="0.4">
      <c r="B96" t="s">
        <v>12</v>
      </c>
      <c r="C96" t="s">
        <v>23</v>
      </c>
    </row>
    <row r="97" spans="1:7" x14ac:dyDescent="0.4">
      <c r="B97" t="s">
        <v>12</v>
      </c>
      <c r="C97" t="s">
        <v>24</v>
      </c>
    </row>
    <row r="98" spans="1:7" x14ac:dyDescent="0.4">
      <c r="B98" t="s">
        <v>12</v>
      </c>
      <c r="C98" t="s">
        <v>25</v>
      </c>
    </row>
    <row r="99" spans="1:7" x14ac:dyDescent="0.4">
      <c r="B99" t="s">
        <v>12</v>
      </c>
      <c r="C99" t="s">
        <v>26</v>
      </c>
    </row>
    <row r="100" spans="1:7" x14ac:dyDescent="0.4">
      <c r="B100" t="s">
        <v>12</v>
      </c>
      <c r="C100" t="s">
        <v>69</v>
      </c>
    </row>
    <row r="101" spans="1:7" x14ac:dyDescent="0.4">
      <c r="B101" t="s">
        <v>12</v>
      </c>
      <c r="C101" t="s">
        <v>58</v>
      </c>
    </row>
    <row r="102" spans="1:7" x14ac:dyDescent="0.4">
      <c r="A102">
        <v>3.3</v>
      </c>
      <c r="B102" t="s">
        <v>12</v>
      </c>
      <c r="C102" t="s">
        <v>59</v>
      </c>
      <c r="D102">
        <v>6</v>
      </c>
      <c r="E102" t="s">
        <v>15</v>
      </c>
      <c r="F102">
        <v>14375</v>
      </c>
      <c r="G102">
        <v>86250</v>
      </c>
    </row>
    <row r="103" spans="1:7" x14ac:dyDescent="0.4">
      <c r="A103">
        <v>4</v>
      </c>
      <c r="B103" t="s">
        <v>12</v>
      </c>
      <c r="C103" t="s">
        <v>70</v>
      </c>
    </row>
    <row r="104" spans="1:7" x14ac:dyDescent="0.4">
      <c r="A104">
        <v>4.0999999999999996</v>
      </c>
      <c r="B104" t="s">
        <v>12</v>
      </c>
      <c r="C104" t="s">
        <v>43</v>
      </c>
      <c r="D104">
        <v>1</v>
      </c>
      <c r="E104" t="s">
        <v>15</v>
      </c>
      <c r="F104">
        <v>46900</v>
      </c>
      <c r="G104">
        <v>46900</v>
      </c>
    </row>
    <row r="105" spans="1:7" x14ac:dyDescent="0.4">
      <c r="B105" t="s">
        <v>12</v>
      </c>
      <c r="C105" t="s">
        <v>44</v>
      </c>
    </row>
    <row r="106" spans="1:7" x14ac:dyDescent="0.4">
      <c r="B106" t="s">
        <v>12</v>
      </c>
      <c r="C106" t="s">
        <v>45</v>
      </c>
    </row>
    <row r="107" spans="1:7" x14ac:dyDescent="0.4">
      <c r="B107" t="s">
        <v>12</v>
      </c>
      <c r="C107" t="s">
        <v>18</v>
      </c>
    </row>
    <row r="108" spans="1:7" x14ac:dyDescent="0.4">
      <c r="B108" t="s">
        <v>12</v>
      </c>
      <c r="C108" t="s">
        <v>46</v>
      </c>
    </row>
    <row r="109" spans="1:7" x14ac:dyDescent="0.4">
      <c r="A109">
        <v>4.2</v>
      </c>
      <c r="B109" t="s">
        <v>12</v>
      </c>
      <c r="C109" t="s">
        <v>71</v>
      </c>
      <c r="D109">
        <v>1</v>
      </c>
      <c r="E109" t="s">
        <v>15</v>
      </c>
      <c r="F109">
        <v>181814</v>
      </c>
      <c r="G109">
        <v>181814</v>
      </c>
    </row>
    <row r="110" spans="1:7" x14ac:dyDescent="0.4">
      <c r="B110" t="s">
        <v>12</v>
      </c>
      <c r="C110" t="s">
        <v>72</v>
      </c>
    </row>
    <row r="111" spans="1:7" x14ac:dyDescent="0.4">
      <c r="B111" t="s">
        <v>12</v>
      </c>
      <c r="C111" t="s">
        <v>73</v>
      </c>
    </row>
    <row r="112" spans="1:7" x14ac:dyDescent="0.4">
      <c r="B112" t="s">
        <v>12</v>
      </c>
      <c r="C112" t="s">
        <v>74</v>
      </c>
    </row>
    <row r="113" spans="1:7" x14ac:dyDescent="0.4">
      <c r="B113" t="s">
        <v>12</v>
      </c>
      <c r="C113" t="s">
        <v>75</v>
      </c>
    </row>
    <row r="114" spans="1:7" x14ac:dyDescent="0.4">
      <c r="B114" t="s">
        <v>12</v>
      </c>
      <c r="C114" t="s">
        <v>76</v>
      </c>
    </row>
    <row r="115" spans="1:7" x14ac:dyDescent="0.4">
      <c r="B115" t="s">
        <v>12</v>
      </c>
      <c r="C115" t="s">
        <v>77</v>
      </c>
    </row>
    <row r="116" spans="1:7" x14ac:dyDescent="0.4">
      <c r="B116" t="s">
        <v>12</v>
      </c>
      <c r="C116" t="s">
        <v>78</v>
      </c>
    </row>
    <row r="117" spans="1:7" x14ac:dyDescent="0.4">
      <c r="B117" t="s">
        <v>12</v>
      </c>
      <c r="C117" t="s">
        <v>79</v>
      </c>
    </row>
    <row r="118" spans="1:7" x14ac:dyDescent="0.4">
      <c r="B118" t="s">
        <v>12</v>
      </c>
      <c r="C118" t="s">
        <v>80</v>
      </c>
    </row>
    <row r="119" spans="1:7" x14ac:dyDescent="0.4">
      <c r="B119" t="s">
        <v>12</v>
      </c>
      <c r="C119" t="s">
        <v>81</v>
      </c>
    </row>
    <row r="120" spans="1:7" x14ac:dyDescent="0.4">
      <c r="B120" t="s">
        <v>12</v>
      </c>
      <c r="C120" t="s">
        <v>82</v>
      </c>
    </row>
    <row r="121" spans="1:7" x14ac:dyDescent="0.4">
      <c r="B121" t="s">
        <v>12</v>
      </c>
      <c r="C121" t="s">
        <v>83</v>
      </c>
    </row>
    <row r="122" spans="1:7" x14ac:dyDescent="0.4">
      <c r="B122" t="s">
        <v>12</v>
      </c>
      <c r="C122" t="s">
        <v>25</v>
      </c>
    </row>
    <row r="123" spans="1:7" x14ac:dyDescent="0.4">
      <c r="B123" t="s">
        <v>12</v>
      </c>
      <c r="C123" t="s">
        <v>84</v>
      </c>
    </row>
    <row r="124" spans="1:7" x14ac:dyDescent="0.4">
      <c r="B124" t="s">
        <v>12</v>
      </c>
      <c r="C124" t="s">
        <v>85</v>
      </c>
    </row>
    <row r="125" spans="1:7" x14ac:dyDescent="0.4">
      <c r="B125" t="s">
        <v>12</v>
      </c>
      <c r="C125" t="s">
        <v>86</v>
      </c>
    </row>
    <row r="126" spans="1:7" x14ac:dyDescent="0.4">
      <c r="B126" t="s">
        <v>12</v>
      </c>
      <c r="C126" t="s">
        <v>26</v>
      </c>
    </row>
    <row r="127" spans="1:7" x14ac:dyDescent="0.4">
      <c r="A127">
        <v>4.3</v>
      </c>
      <c r="B127" t="s">
        <v>12</v>
      </c>
      <c r="C127" t="s">
        <v>61</v>
      </c>
      <c r="D127">
        <v>1</v>
      </c>
      <c r="E127" t="s">
        <v>15</v>
      </c>
      <c r="F127">
        <v>88726</v>
      </c>
      <c r="G127">
        <v>88726</v>
      </c>
    </row>
    <row r="128" spans="1:7" x14ac:dyDescent="0.4">
      <c r="B128" t="s">
        <v>12</v>
      </c>
      <c r="C128" t="s">
        <v>87</v>
      </c>
    </row>
    <row r="129" spans="1:3" x14ac:dyDescent="0.4">
      <c r="B129" t="s">
        <v>12</v>
      </c>
      <c r="C129" t="s">
        <v>17</v>
      </c>
    </row>
    <row r="130" spans="1:3" x14ac:dyDescent="0.4">
      <c r="B130" t="s">
        <v>12</v>
      </c>
      <c r="C130" t="s">
        <v>18</v>
      </c>
    </row>
    <row r="131" spans="1:3" x14ac:dyDescent="0.4">
      <c r="B131" t="s">
        <v>12</v>
      </c>
      <c r="C131" t="s">
        <v>88</v>
      </c>
    </row>
    <row r="132" spans="1:3" x14ac:dyDescent="0.4">
      <c r="B132" t="s">
        <v>12</v>
      </c>
      <c r="C132" t="s">
        <v>89</v>
      </c>
    </row>
    <row r="133" spans="1:3" x14ac:dyDescent="0.4">
      <c r="B133" t="s">
        <v>12</v>
      </c>
      <c r="C133" t="s">
        <v>90</v>
      </c>
    </row>
    <row r="134" spans="1:3" x14ac:dyDescent="0.4">
      <c r="B134" t="s">
        <v>12</v>
      </c>
      <c r="C134" t="s">
        <v>64</v>
      </c>
    </row>
    <row r="135" spans="1:3" x14ac:dyDescent="0.4">
      <c r="B135" t="s">
        <v>12</v>
      </c>
      <c r="C135" t="s">
        <v>65</v>
      </c>
    </row>
    <row r="136" spans="1:3" x14ac:dyDescent="0.4">
      <c r="B136" t="s">
        <v>12</v>
      </c>
      <c r="C136" t="s">
        <v>22</v>
      </c>
    </row>
    <row r="137" spans="1:3" x14ac:dyDescent="0.4">
      <c r="B137" t="s">
        <v>12</v>
      </c>
      <c r="C137" t="s">
        <v>23</v>
      </c>
    </row>
    <row r="138" spans="1:3" x14ac:dyDescent="0.4">
      <c r="B138" t="s">
        <v>12</v>
      </c>
      <c r="C138" t="s">
        <v>24</v>
      </c>
    </row>
    <row r="139" spans="1:3" x14ac:dyDescent="0.4">
      <c r="B139" t="s">
        <v>12</v>
      </c>
      <c r="C139" t="s">
        <v>91</v>
      </c>
    </row>
    <row r="140" spans="1:3" x14ac:dyDescent="0.4">
      <c r="B140" t="s">
        <v>12</v>
      </c>
      <c r="C140" t="s">
        <v>25</v>
      </c>
    </row>
    <row r="141" spans="1:3" x14ac:dyDescent="0.4">
      <c r="B141" t="s">
        <v>12</v>
      </c>
      <c r="C141" t="s">
        <v>26</v>
      </c>
    </row>
    <row r="142" spans="1:3" x14ac:dyDescent="0.4">
      <c r="B142" t="s">
        <v>12</v>
      </c>
      <c r="C142" t="s">
        <v>69</v>
      </c>
    </row>
    <row r="143" spans="1:3" x14ac:dyDescent="0.4">
      <c r="B143" t="s">
        <v>12</v>
      </c>
      <c r="C143" t="s">
        <v>58</v>
      </c>
    </row>
    <row r="144" spans="1:3" x14ac:dyDescent="0.4">
      <c r="A144">
        <v>5</v>
      </c>
      <c r="B144" t="s">
        <v>12</v>
      </c>
      <c r="C144" t="s">
        <v>92</v>
      </c>
    </row>
    <row r="145" spans="1:7" x14ac:dyDescent="0.4">
      <c r="A145">
        <v>5.0999999999999996</v>
      </c>
      <c r="B145" t="s">
        <v>12</v>
      </c>
      <c r="C145" t="s">
        <v>14</v>
      </c>
      <c r="D145">
        <v>1</v>
      </c>
      <c r="E145" t="s">
        <v>15</v>
      </c>
      <c r="F145">
        <v>53039</v>
      </c>
      <c r="G145">
        <v>53039</v>
      </c>
    </row>
    <row r="146" spans="1:7" x14ac:dyDescent="0.4">
      <c r="B146" t="s">
        <v>12</v>
      </c>
      <c r="C146" t="s">
        <v>93</v>
      </c>
    </row>
    <row r="147" spans="1:7" x14ac:dyDescent="0.4">
      <c r="B147" t="s">
        <v>12</v>
      </c>
      <c r="C147" t="s">
        <v>17</v>
      </c>
    </row>
    <row r="148" spans="1:7" x14ac:dyDescent="0.4">
      <c r="B148" t="s">
        <v>12</v>
      </c>
      <c r="C148" t="s">
        <v>18</v>
      </c>
    </row>
    <row r="149" spans="1:7" x14ac:dyDescent="0.4">
      <c r="B149" t="s">
        <v>12</v>
      </c>
      <c r="C149" t="s">
        <v>88</v>
      </c>
    </row>
    <row r="150" spans="1:7" x14ac:dyDescent="0.4">
      <c r="B150" t="s">
        <v>12</v>
      </c>
      <c r="C150" t="s">
        <v>21</v>
      </c>
    </row>
    <row r="151" spans="1:7" x14ac:dyDescent="0.4">
      <c r="B151" t="s">
        <v>12</v>
      </c>
      <c r="C151" t="s">
        <v>22</v>
      </c>
    </row>
    <row r="152" spans="1:7" x14ac:dyDescent="0.4">
      <c r="B152" t="s">
        <v>12</v>
      </c>
      <c r="C152" t="s">
        <v>23</v>
      </c>
    </row>
    <row r="153" spans="1:7" x14ac:dyDescent="0.4">
      <c r="B153" t="s">
        <v>12</v>
      </c>
      <c r="C153" t="s">
        <v>24</v>
      </c>
    </row>
    <row r="154" spans="1:7" x14ac:dyDescent="0.4">
      <c r="B154" t="s">
        <v>12</v>
      </c>
      <c r="C154" t="s">
        <v>94</v>
      </c>
    </row>
    <row r="155" spans="1:7" x14ac:dyDescent="0.4">
      <c r="B155" t="s">
        <v>12</v>
      </c>
      <c r="C155" t="s">
        <v>25</v>
      </c>
    </row>
    <row r="156" spans="1:7" x14ac:dyDescent="0.4">
      <c r="B156" t="s">
        <v>12</v>
      </c>
      <c r="C156" t="s">
        <v>26</v>
      </c>
    </row>
    <row r="157" spans="1:7" x14ac:dyDescent="0.4">
      <c r="B157" t="s">
        <v>12</v>
      </c>
      <c r="C157" t="s">
        <v>95</v>
      </c>
    </row>
    <row r="158" spans="1:7" x14ac:dyDescent="0.4">
      <c r="B158" t="s">
        <v>12</v>
      </c>
      <c r="C158" t="s">
        <v>96</v>
      </c>
    </row>
    <row r="159" spans="1:7" x14ac:dyDescent="0.4">
      <c r="A159">
        <v>5.2</v>
      </c>
      <c r="B159" t="s">
        <v>12</v>
      </c>
      <c r="C159" t="s">
        <v>59</v>
      </c>
      <c r="D159">
        <v>1</v>
      </c>
      <c r="E159" t="s">
        <v>15</v>
      </c>
      <c r="F159">
        <v>14375</v>
      </c>
      <c r="G159">
        <v>14375</v>
      </c>
    </row>
    <row r="160" spans="1:7" x14ac:dyDescent="0.4">
      <c r="A160">
        <v>6</v>
      </c>
      <c r="B160" t="s">
        <v>12</v>
      </c>
      <c r="C160" t="s">
        <v>97</v>
      </c>
    </row>
    <row r="161" spans="1:7" x14ac:dyDescent="0.4">
      <c r="A161">
        <v>6.1</v>
      </c>
      <c r="B161" t="s">
        <v>12</v>
      </c>
      <c r="C161" t="s">
        <v>98</v>
      </c>
      <c r="D161">
        <v>3</v>
      </c>
      <c r="E161" t="s">
        <v>15</v>
      </c>
      <c r="F161">
        <v>53000</v>
      </c>
      <c r="G161">
        <v>159000</v>
      </c>
    </row>
    <row r="162" spans="1:7" x14ac:dyDescent="0.4">
      <c r="B162" t="s">
        <v>12</v>
      </c>
      <c r="C162" t="s">
        <v>99</v>
      </c>
    </row>
    <row r="163" spans="1:7" x14ac:dyDescent="0.4">
      <c r="A163">
        <v>6.2</v>
      </c>
      <c r="B163" t="s">
        <v>12</v>
      </c>
      <c r="C163" t="s">
        <v>100</v>
      </c>
      <c r="D163">
        <v>4</v>
      </c>
      <c r="E163" t="s">
        <v>15</v>
      </c>
      <c r="F163">
        <v>38500</v>
      </c>
      <c r="G163">
        <v>154000</v>
      </c>
    </row>
    <row r="164" spans="1:7" x14ac:dyDescent="0.4">
      <c r="B164" t="s">
        <v>12</v>
      </c>
      <c r="C164" t="s">
        <v>101</v>
      </c>
    </row>
    <row r="165" spans="1:7" x14ac:dyDescent="0.4">
      <c r="A165">
        <v>7</v>
      </c>
      <c r="B165" t="s">
        <v>12</v>
      </c>
      <c r="C165" t="s">
        <v>102</v>
      </c>
    </row>
    <row r="166" spans="1:7" x14ac:dyDescent="0.4">
      <c r="A166">
        <v>7.1</v>
      </c>
      <c r="B166" t="s">
        <v>12</v>
      </c>
      <c r="C166" t="s">
        <v>103</v>
      </c>
      <c r="D166">
        <v>9</v>
      </c>
      <c r="E166" t="s">
        <v>15</v>
      </c>
      <c r="F166">
        <v>21500</v>
      </c>
      <c r="G166">
        <v>193500</v>
      </c>
    </row>
    <row r="167" spans="1:7" x14ac:dyDescent="0.4">
      <c r="B167" t="s">
        <v>12</v>
      </c>
      <c r="C167" t="s">
        <v>104</v>
      </c>
    </row>
    <row r="168" spans="1:7" x14ac:dyDescent="0.4">
      <c r="B168" t="s">
        <v>12</v>
      </c>
      <c r="C168" t="s">
        <v>45</v>
      </c>
    </row>
    <row r="169" spans="1:7" x14ac:dyDescent="0.4">
      <c r="B169" t="s">
        <v>12</v>
      </c>
      <c r="C169" t="s">
        <v>105</v>
      </c>
    </row>
    <row r="170" spans="1:7" x14ac:dyDescent="0.4">
      <c r="A170">
        <v>8</v>
      </c>
      <c r="B170" t="s">
        <v>12</v>
      </c>
      <c r="C170" t="s">
        <v>106</v>
      </c>
    </row>
    <row r="171" spans="1:7" x14ac:dyDescent="0.4">
      <c r="A171">
        <v>8.1</v>
      </c>
      <c r="B171" t="s">
        <v>12</v>
      </c>
      <c r="C171" t="s">
        <v>103</v>
      </c>
      <c r="D171">
        <v>12</v>
      </c>
      <c r="E171" t="s">
        <v>15</v>
      </c>
      <c r="F171">
        <v>19500</v>
      </c>
      <c r="G171">
        <v>234000</v>
      </c>
    </row>
    <row r="172" spans="1:7" x14ac:dyDescent="0.4">
      <c r="B172" t="s">
        <v>12</v>
      </c>
      <c r="C172" t="s">
        <v>107</v>
      </c>
    </row>
    <row r="173" spans="1:7" x14ac:dyDescent="0.4">
      <c r="B173" t="s">
        <v>12</v>
      </c>
      <c r="C173" t="s">
        <v>45</v>
      </c>
    </row>
    <row r="174" spans="1:7" x14ac:dyDescent="0.4">
      <c r="B174" t="s">
        <v>12</v>
      </c>
      <c r="C174" t="s">
        <v>105</v>
      </c>
    </row>
    <row r="175" spans="1:7" x14ac:dyDescent="0.4">
      <c r="A175">
        <v>9</v>
      </c>
      <c r="B175" t="s">
        <v>12</v>
      </c>
      <c r="C175" t="s">
        <v>108</v>
      </c>
    </row>
    <row r="176" spans="1:7" x14ac:dyDescent="0.4">
      <c r="A176">
        <v>9.1</v>
      </c>
      <c r="B176" t="s">
        <v>12</v>
      </c>
      <c r="C176" t="s">
        <v>109</v>
      </c>
      <c r="D176">
        <v>1</v>
      </c>
      <c r="E176" t="s">
        <v>15</v>
      </c>
      <c r="F176">
        <v>137363</v>
      </c>
      <c r="G176">
        <v>137363</v>
      </c>
    </row>
    <row r="177" spans="1:7" x14ac:dyDescent="0.4">
      <c r="B177" t="s">
        <v>12</v>
      </c>
      <c r="C177" t="s">
        <v>110</v>
      </c>
    </row>
    <row r="178" spans="1:7" x14ac:dyDescent="0.4">
      <c r="B178" t="s">
        <v>12</v>
      </c>
      <c r="C178" t="s">
        <v>17</v>
      </c>
    </row>
    <row r="179" spans="1:7" x14ac:dyDescent="0.4">
      <c r="B179" t="s">
        <v>12</v>
      </c>
      <c r="C179" t="s">
        <v>18</v>
      </c>
    </row>
    <row r="180" spans="1:7" x14ac:dyDescent="0.4">
      <c r="B180" t="s">
        <v>12</v>
      </c>
      <c r="C180" t="s">
        <v>111</v>
      </c>
    </row>
    <row r="181" spans="1:7" x14ac:dyDescent="0.4">
      <c r="B181" t="s">
        <v>12</v>
      </c>
      <c r="C181" t="s">
        <v>112</v>
      </c>
    </row>
    <row r="182" spans="1:7" x14ac:dyDescent="0.4">
      <c r="B182" t="s">
        <v>12</v>
      </c>
      <c r="C182" t="s">
        <v>22</v>
      </c>
    </row>
    <row r="183" spans="1:7" x14ac:dyDescent="0.4">
      <c r="B183" t="s">
        <v>12</v>
      </c>
      <c r="C183" t="s">
        <v>23</v>
      </c>
    </row>
    <row r="184" spans="1:7" x14ac:dyDescent="0.4">
      <c r="B184" t="s">
        <v>12</v>
      </c>
      <c r="C184" t="s">
        <v>27</v>
      </c>
    </row>
    <row r="185" spans="1:7" x14ac:dyDescent="0.4">
      <c r="B185" t="s">
        <v>12</v>
      </c>
      <c r="C185" t="s">
        <v>37</v>
      </c>
    </row>
    <row r="186" spans="1:7" x14ac:dyDescent="0.4">
      <c r="A186">
        <v>10</v>
      </c>
      <c r="B186" t="s">
        <v>12</v>
      </c>
      <c r="C186" t="s">
        <v>113</v>
      </c>
    </row>
    <row r="187" spans="1:7" x14ac:dyDescent="0.4">
      <c r="A187">
        <v>10.1</v>
      </c>
      <c r="B187" t="s">
        <v>12</v>
      </c>
      <c r="C187" t="s">
        <v>43</v>
      </c>
      <c r="D187">
        <v>1</v>
      </c>
      <c r="E187" t="s">
        <v>15</v>
      </c>
      <c r="F187">
        <v>46900</v>
      </c>
      <c r="G187">
        <v>46900</v>
      </c>
    </row>
    <row r="188" spans="1:7" x14ac:dyDescent="0.4">
      <c r="B188" t="s">
        <v>12</v>
      </c>
      <c r="C188" t="s">
        <v>44</v>
      </c>
    </row>
    <row r="189" spans="1:7" x14ac:dyDescent="0.4">
      <c r="B189" t="s">
        <v>12</v>
      </c>
      <c r="C189" t="s">
        <v>45</v>
      </c>
    </row>
    <row r="190" spans="1:7" x14ac:dyDescent="0.4">
      <c r="B190" t="s">
        <v>12</v>
      </c>
      <c r="C190" t="s">
        <v>18</v>
      </c>
    </row>
    <row r="191" spans="1:7" x14ac:dyDescent="0.4">
      <c r="B191" t="s">
        <v>12</v>
      </c>
      <c r="C191" t="s">
        <v>46</v>
      </c>
    </row>
    <row r="192" spans="1:7" x14ac:dyDescent="0.4">
      <c r="A192">
        <v>11</v>
      </c>
      <c r="B192" t="s">
        <v>12</v>
      </c>
      <c r="C192" t="s">
        <v>114</v>
      </c>
    </row>
    <row r="193" spans="1:7" x14ac:dyDescent="0.4">
      <c r="A193">
        <v>11.1</v>
      </c>
      <c r="B193" t="s">
        <v>12</v>
      </c>
      <c r="C193" t="s">
        <v>115</v>
      </c>
      <c r="D193">
        <v>1</v>
      </c>
      <c r="E193" t="s">
        <v>15</v>
      </c>
      <c r="F193">
        <v>84864</v>
      </c>
      <c r="G193">
        <v>84864</v>
      </c>
    </row>
    <row r="194" spans="1:7" x14ac:dyDescent="0.4">
      <c r="B194" t="s">
        <v>12</v>
      </c>
      <c r="C194" t="s">
        <v>116</v>
      </c>
    </row>
    <row r="195" spans="1:7" x14ac:dyDescent="0.4">
      <c r="B195" t="s">
        <v>12</v>
      </c>
      <c r="C195" t="s">
        <v>17</v>
      </c>
    </row>
    <row r="196" spans="1:7" x14ac:dyDescent="0.4">
      <c r="B196" t="s">
        <v>12</v>
      </c>
      <c r="C196" t="s">
        <v>18</v>
      </c>
    </row>
    <row r="197" spans="1:7" x14ac:dyDescent="0.4">
      <c r="B197" t="s">
        <v>12</v>
      </c>
      <c r="C197" t="s">
        <v>117</v>
      </c>
    </row>
    <row r="198" spans="1:7" x14ac:dyDescent="0.4">
      <c r="B198" t="s">
        <v>12</v>
      </c>
      <c r="C198" t="s">
        <v>118</v>
      </c>
    </row>
    <row r="199" spans="1:7" x14ac:dyDescent="0.4">
      <c r="B199" t="s">
        <v>12</v>
      </c>
      <c r="C199" t="s">
        <v>90</v>
      </c>
    </row>
    <row r="200" spans="1:7" x14ac:dyDescent="0.4">
      <c r="B200" t="s">
        <v>12</v>
      </c>
      <c r="C200" t="s">
        <v>21</v>
      </c>
    </row>
    <row r="201" spans="1:7" x14ac:dyDescent="0.4">
      <c r="B201" t="s">
        <v>12</v>
      </c>
      <c r="C201" t="s">
        <v>119</v>
      </c>
    </row>
    <row r="202" spans="1:7" x14ac:dyDescent="0.4">
      <c r="B202" t="s">
        <v>12</v>
      </c>
      <c r="C202" t="s">
        <v>22</v>
      </c>
    </row>
    <row r="203" spans="1:7" x14ac:dyDescent="0.4">
      <c r="B203" t="s">
        <v>12</v>
      </c>
      <c r="C203" t="s">
        <v>23</v>
      </c>
    </row>
    <row r="204" spans="1:7" x14ac:dyDescent="0.4">
      <c r="B204" t="s">
        <v>12</v>
      </c>
      <c r="C204" t="s">
        <v>24</v>
      </c>
    </row>
    <row r="205" spans="1:7" x14ac:dyDescent="0.4">
      <c r="B205" t="s">
        <v>12</v>
      </c>
      <c r="C205" t="s">
        <v>25</v>
      </c>
    </row>
    <row r="206" spans="1:7" x14ac:dyDescent="0.4">
      <c r="B206" t="s">
        <v>12</v>
      </c>
      <c r="C206" t="s">
        <v>26</v>
      </c>
    </row>
    <row r="207" spans="1:7" x14ac:dyDescent="0.4">
      <c r="B207" t="s">
        <v>12</v>
      </c>
      <c r="C207" t="s">
        <v>57</v>
      </c>
    </row>
    <row r="208" spans="1:7" x14ac:dyDescent="0.4">
      <c r="B208" t="s">
        <v>12</v>
      </c>
      <c r="C208" t="s">
        <v>58</v>
      </c>
    </row>
    <row r="209" spans="1:7" x14ac:dyDescent="0.4">
      <c r="A209">
        <v>12</v>
      </c>
      <c r="B209" t="s">
        <v>12</v>
      </c>
      <c r="C209" t="s">
        <v>120</v>
      </c>
    </row>
    <row r="210" spans="1:7" x14ac:dyDescent="0.4">
      <c r="A210">
        <v>12.1</v>
      </c>
      <c r="B210" t="s">
        <v>12</v>
      </c>
      <c r="C210" t="s">
        <v>115</v>
      </c>
      <c r="D210">
        <v>1</v>
      </c>
      <c r="E210" t="s">
        <v>15</v>
      </c>
      <c r="F210">
        <v>83964</v>
      </c>
      <c r="G210">
        <v>83964</v>
      </c>
    </row>
    <row r="211" spans="1:7" x14ac:dyDescent="0.4">
      <c r="B211" t="s">
        <v>12</v>
      </c>
      <c r="C211" t="s">
        <v>116</v>
      </c>
    </row>
    <row r="212" spans="1:7" x14ac:dyDescent="0.4">
      <c r="B212" t="s">
        <v>12</v>
      </c>
      <c r="C212" t="s">
        <v>17</v>
      </c>
    </row>
    <row r="213" spans="1:7" x14ac:dyDescent="0.4">
      <c r="B213" t="s">
        <v>12</v>
      </c>
      <c r="C213" t="s">
        <v>18</v>
      </c>
    </row>
    <row r="214" spans="1:7" x14ac:dyDescent="0.4">
      <c r="B214" t="s">
        <v>12</v>
      </c>
      <c r="C214" t="s">
        <v>117</v>
      </c>
    </row>
    <row r="215" spans="1:7" x14ac:dyDescent="0.4">
      <c r="B215" t="s">
        <v>12</v>
      </c>
      <c r="C215" t="s">
        <v>118</v>
      </c>
    </row>
    <row r="216" spans="1:7" x14ac:dyDescent="0.4">
      <c r="B216" t="s">
        <v>12</v>
      </c>
      <c r="C216" t="s">
        <v>90</v>
      </c>
    </row>
    <row r="217" spans="1:7" x14ac:dyDescent="0.4">
      <c r="B217" t="s">
        <v>12</v>
      </c>
      <c r="C217" t="s">
        <v>21</v>
      </c>
    </row>
    <row r="218" spans="1:7" x14ac:dyDescent="0.4">
      <c r="B218" t="s">
        <v>12</v>
      </c>
      <c r="C218" t="s">
        <v>119</v>
      </c>
    </row>
    <row r="219" spans="1:7" x14ac:dyDescent="0.4">
      <c r="B219" t="s">
        <v>12</v>
      </c>
      <c r="C219" t="s">
        <v>22</v>
      </c>
    </row>
    <row r="220" spans="1:7" x14ac:dyDescent="0.4">
      <c r="B220" t="s">
        <v>12</v>
      </c>
      <c r="C220" t="s">
        <v>23</v>
      </c>
    </row>
    <row r="221" spans="1:7" x14ac:dyDescent="0.4">
      <c r="B221" t="s">
        <v>12</v>
      </c>
      <c r="C221" t="s">
        <v>24</v>
      </c>
    </row>
    <row r="222" spans="1:7" x14ac:dyDescent="0.4">
      <c r="B222" t="s">
        <v>12</v>
      </c>
      <c r="C222" t="s">
        <v>25</v>
      </c>
    </row>
    <row r="223" spans="1:7" x14ac:dyDescent="0.4">
      <c r="B223" t="s">
        <v>12</v>
      </c>
      <c r="C223" t="s">
        <v>26</v>
      </c>
    </row>
    <row r="224" spans="1:7" x14ac:dyDescent="0.4">
      <c r="B224" t="s">
        <v>12</v>
      </c>
      <c r="C224" t="s">
        <v>121</v>
      </c>
    </row>
    <row r="225" spans="1:7" x14ac:dyDescent="0.4">
      <c r="B225" t="s">
        <v>12</v>
      </c>
      <c r="C225" t="s">
        <v>58</v>
      </c>
    </row>
    <row r="226" spans="1:7" x14ac:dyDescent="0.4">
      <c r="A226">
        <v>13</v>
      </c>
      <c r="B226" t="s">
        <v>12</v>
      </c>
      <c r="C226" t="s">
        <v>122</v>
      </c>
    </row>
    <row r="227" spans="1:7" x14ac:dyDescent="0.4">
      <c r="A227">
        <v>13.1</v>
      </c>
      <c r="B227" t="s">
        <v>12</v>
      </c>
      <c r="C227" t="s">
        <v>123</v>
      </c>
      <c r="D227">
        <v>2</v>
      </c>
      <c r="E227" t="s">
        <v>15</v>
      </c>
      <c r="F227">
        <v>191317</v>
      </c>
      <c r="G227">
        <v>382634</v>
      </c>
    </row>
    <row r="228" spans="1:7" x14ac:dyDescent="0.4">
      <c r="B228" t="s">
        <v>12</v>
      </c>
      <c r="C228" t="s">
        <v>124</v>
      </c>
    </row>
    <row r="229" spans="1:7" x14ac:dyDescent="0.4">
      <c r="B229" t="s">
        <v>12</v>
      </c>
      <c r="C229" t="s">
        <v>73</v>
      </c>
    </row>
    <row r="230" spans="1:7" x14ac:dyDescent="0.4">
      <c r="B230" t="s">
        <v>12</v>
      </c>
      <c r="C230" t="s">
        <v>74</v>
      </c>
    </row>
    <row r="231" spans="1:7" x14ac:dyDescent="0.4">
      <c r="B231" t="s">
        <v>12</v>
      </c>
      <c r="C231" t="s">
        <v>75</v>
      </c>
    </row>
    <row r="232" spans="1:7" x14ac:dyDescent="0.4">
      <c r="B232" t="s">
        <v>12</v>
      </c>
      <c r="C232" t="s">
        <v>76</v>
      </c>
    </row>
    <row r="233" spans="1:7" x14ac:dyDescent="0.4">
      <c r="B233" t="s">
        <v>12</v>
      </c>
      <c r="C233" t="s">
        <v>77</v>
      </c>
    </row>
    <row r="234" spans="1:7" x14ac:dyDescent="0.4">
      <c r="B234" t="s">
        <v>12</v>
      </c>
      <c r="C234" t="s">
        <v>78</v>
      </c>
    </row>
    <row r="235" spans="1:7" x14ac:dyDescent="0.4">
      <c r="B235" t="s">
        <v>12</v>
      </c>
      <c r="C235" t="s">
        <v>79</v>
      </c>
    </row>
    <row r="236" spans="1:7" x14ac:dyDescent="0.4">
      <c r="B236" t="s">
        <v>12</v>
      </c>
      <c r="C236" t="s">
        <v>80</v>
      </c>
    </row>
    <row r="237" spans="1:7" x14ac:dyDescent="0.4">
      <c r="B237" t="s">
        <v>12</v>
      </c>
      <c r="C237" t="s">
        <v>81</v>
      </c>
    </row>
    <row r="238" spans="1:7" x14ac:dyDescent="0.4">
      <c r="B238" t="s">
        <v>12</v>
      </c>
      <c r="C238" t="s">
        <v>82</v>
      </c>
    </row>
    <row r="239" spans="1:7" x14ac:dyDescent="0.4">
      <c r="B239" t="s">
        <v>12</v>
      </c>
      <c r="C239" t="s">
        <v>83</v>
      </c>
    </row>
    <row r="240" spans="1:7" x14ac:dyDescent="0.4">
      <c r="B240" t="s">
        <v>12</v>
      </c>
      <c r="C240" t="s">
        <v>25</v>
      </c>
    </row>
    <row r="241" spans="1:7" x14ac:dyDescent="0.4">
      <c r="B241" t="s">
        <v>12</v>
      </c>
      <c r="C241" t="s">
        <v>84</v>
      </c>
    </row>
    <row r="242" spans="1:7" x14ac:dyDescent="0.4">
      <c r="B242" t="s">
        <v>12</v>
      </c>
      <c r="C242" t="s">
        <v>86</v>
      </c>
    </row>
    <row r="243" spans="1:7" x14ac:dyDescent="0.4">
      <c r="B243" t="s">
        <v>12</v>
      </c>
      <c r="C243" t="s">
        <v>125</v>
      </c>
    </row>
    <row r="244" spans="1:7" x14ac:dyDescent="0.4">
      <c r="B244" t="s">
        <v>12</v>
      </c>
      <c r="C244" t="s">
        <v>26</v>
      </c>
    </row>
    <row r="245" spans="1:7" x14ac:dyDescent="0.4">
      <c r="A245">
        <v>13.2</v>
      </c>
      <c r="B245" t="s">
        <v>12</v>
      </c>
      <c r="C245" t="s">
        <v>126</v>
      </c>
      <c r="D245">
        <v>1</v>
      </c>
      <c r="E245" t="s">
        <v>15</v>
      </c>
      <c r="F245">
        <v>61661</v>
      </c>
      <c r="G245">
        <v>61661</v>
      </c>
    </row>
    <row r="246" spans="1:7" x14ac:dyDescent="0.4">
      <c r="B246" t="s">
        <v>12</v>
      </c>
      <c r="C246" t="s">
        <v>127</v>
      </c>
    </row>
    <row r="247" spans="1:7" x14ac:dyDescent="0.4">
      <c r="B247" t="s">
        <v>12</v>
      </c>
      <c r="C247" t="s">
        <v>17</v>
      </c>
    </row>
    <row r="248" spans="1:7" x14ac:dyDescent="0.4">
      <c r="B248" t="s">
        <v>12</v>
      </c>
      <c r="C248" t="s">
        <v>18</v>
      </c>
    </row>
    <row r="249" spans="1:7" x14ac:dyDescent="0.4">
      <c r="B249" t="s">
        <v>12</v>
      </c>
      <c r="C249" t="s">
        <v>49</v>
      </c>
    </row>
    <row r="250" spans="1:7" x14ac:dyDescent="0.4">
      <c r="B250" t="s">
        <v>12</v>
      </c>
      <c r="C250" t="s">
        <v>128</v>
      </c>
    </row>
    <row r="251" spans="1:7" x14ac:dyDescent="0.4">
      <c r="B251" t="s">
        <v>12</v>
      </c>
      <c r="C251" t="s">
        <v>90</v>
      </c>
    </row>
    <row r="252" spans="1:7" x14ac:dyDescent="0.4">
      <c r="B252" t="s">
        <v>12</v>
      </c>
      <c r="C252" t="s">
        <v>129</v>
      </c>
    </row>
    <row r="253" spans="1:7" x14ac:dyDescent="0.4">
      <c r="B253" t="s">
        <v>12</v>
      </c>
      <c r="C253" t="s">
        <v>53</v>
      </c>
    </row>
    <row r="254" spans="1:7" x14ac:dyDescent="0.4">
      <c r="B254" t="s">
        <v>12</v>
      </c>
      <c r="C254" t="s">
        <v>130</v>
      </c>
    </row>
    <row r="255" spans="1:7" x14ac:dyDescent="0.4">
      <c r="B255" t="s">
        <v>12</v>
      </c>
      <c r="C255" t="s">
        <v>55</v>
      </c>
    </row>
    <row r="256" spans="1:7" x14ac:dyDescent="0.4">
      <c r="B256" t="s">
        <v>12</v>
      </c>
      <c r="C256" t="s">
        <v>56</v>
      </c>
    </row>
    <row r="257" spans="1:7" x14ac:dyDescent="0.4">
      <c r="B257" t="s">
        <v>12</v>
      </c>
      <c r="C257" t="s">
        <v>131</v>
      </c>
    </row>
    <row r="258" spans="1:7" x14ac:dyDescent="0.4">
      <c r="B258" t="s">
        <v>12</v>
      </c>
      <c r="C258" t="s">
        <v>24</v>
      </c>
    </row>
    <row r="259" spans="1:7" x14ac:dyDescent="0.4">
      <c r="B259" t="s">
        <v>12</v>
      </c>
      <c r="C259" t="s">
        <v>25</v>
      </c>
    </row>
    <row r="260" spans="1:7" x14ac:dyDescent="0.4">
      <c r="B260" t="s">
        <v>12</v>
      </c>
      <c r="C260" t="s">
        <v>26</v>
      </c>
    </row>
    <row r="261" spans="1:7" x14ac:dyDescent="0.4">
      <c r="A261">
        <v>14</v>
      </c>
      <c r="B261" t="s">
        <v>12</v>
      </c>
      <c r="C261" t="s">
        <v>132</v>
      </c>
    </row>
    <row r="262" spans="1:7" x14ac:dyDescent="0.4">
      <c r="A262">
        <v>14.1</v>
      </c>
      <c r="B262" t="s">
        <v>12</v>
      </c>
      <c r="C262" t="s">
        <v>133</v>
      </c>
      <c r="D262">
        <v>1</v>
      </c>
      <c r="E262" t="s">
        <v>15</v>
      </c>
      <c r="F262">
        <v>191317</v>
      </c>
      <c r="G262">
        <v>191317</v>
      </c>
    </row>
    <row r="263" spans="1:7" x14ac:dyDescent="0.4">
      <c r="B263" t="s">
        <v>12</v>
      </c>
      <c r="C263" t="s">
        <v>124</v>
      </c>
    </row>
    <row r="264" spans="1:7" x14ac:dyDescent="0.4">
      <c r="B264" t="s">
        <v>12</v>
      </c>
      <c r="C264" t="s">
        <v>73</v>
      </c>
    </row>
    <row r="265" spans="1:7" x14ac:dyDescent="0.4">
      <c r="B265" t="s">
        <v>12</v>
      </c>
      <c r="C265" t="s">
        <v>74</v>
      </c>
    </row>
    <row r="266" spans="1:7" x14ac:dyDescent="0.4">
      <c r="B266" t="s">
        <v>12</v>
      </c>
      <c r="C266" t="s">
        <v>75</v>
      </c>
    </row>
    <row r="267" spans="1:7" x14ac:dyDescent="0.4">
      <c r="B267" t="s">
        <v>12</v>
      </c>
      <c r="C267" t="s">
        <v>76</v>
      </c>
    </row>
    <row r="268" spans="1:7" x14ac:dyDescent="0.4">
      <c r="B268" t="s">
        <v>12</v>
      </c>
      <c r="C268" t="s">
        <v>77</v>
      </c>
    </row>
    <row r="269" spans="1:7" x14ac:dyDescent="0.4">
      <c r="B269" t="s">
        <v>12</v>
      </c>
      <c r="C269" t="s">
        <v>78</v>
      </c>
    </row>
    <row r="270" spans="1:7" x14ac:dyDescent="0.4">
      <c r="B270" t="s">
        <v>12</v>
      </c>
      <c r="C270" t="s">
        <v>79</v>
      </c>
    </row>
    <row r="271" spans="1:7" x14ac:dyDescent="0.4">
      <c r="B271" t="s">
        <v>12</v>
      </c>
      <c r="C271" t="s">
        <v>80</v>
      </c>
    </row>
    <row r="272" spans="1:7" x14ac:dyDescent="0.4">
      <c r="B272" t="s">
        <v>12</v>
      </c>
      <c r="C272" t="s">
        <v>81</v>
      </c>
    </row>
    <row r="273" spans="1:7" x14ac:dyDescent="0.4">
      <c r="B273" t="s">
        <v>12</v>
      </c>
      <c r="C273" t="s">
        <v>82</v>
      </c>
    </row>
    <row r="274" spans="1:7" x14ac:dyDescent="0.4">
      <c r="B274" t="s">
        <v>12</v>
      </c>
      <c r="C274" t="s">
        <v>83</v>
      </c>
    </row>
    <row r="275" spans="1:7" x14ac:dyDescent="0.4">
      <c r="B275" t="s">
        <v>12</v>
      </c>
      <c r="C275" t="s">
        <v>25</v>
      </c>
    </row>
    <row r="276" spans="1:7" x14ac:dyDescent="0.4">
      <c r="B276" t="s">
        <v>12</v>
      </c>
      <c r="C276" t="s">
        <v>84</v>
      </c>
    </row>
    <row r="277" spans="1:7" x14ac:dyDescent="0.4">
      <c r="B277" t="s">
        <v>12</v>
      </c>
      <c r="C277" t="s">
        <v>86</v>
      </c>
    </row>
    <row r="278" spans="1:7" x14ac:dyDescent="0.4">
      <c r="B278" t="s">
        <v>12</v>
      </c>
      <c r="C278" t="s">
        <v>125</v>
      </c>
    </row>
    <row r="279" spans="1:7" x14ac:dyDescent="0.4">
      <c r="B279" t="s">
        <v>12</v>
      </c>
      <c r="C279" t="s">
        <v>26</v>
      </c>
    </row>
    <row r="280" spans="1:7" x14ac:dyDescent="0.4">
      <c r="A280">
        <v>14.2</v>
      </c>
      <c r="B280" t="s">
        <v>12</v>
      </c>
      <c r="C280" t="s">
        <v>134</v>
      </c>
      <c r="D280">
        <v>1</v>
      </c>
      <c r="E280" t="s">
        <v>15</v>
      </c>
      <c r="F280">
        <v>101430</v>
      </c>
      <c r="G280">
        <v>101430</v>
      </c>
    </row>
    <row r="281" spans="1:7" x14ac:dyDescent="0.4">
      <c r="B281" t="s">
        <v>12</v>
      </c>
      <c r="C281" t="s">
        <v>135</v>
      </c>
    </row>
    <row r="282" spans="1:7" x14ac:dyDescent="0.4">
      <c r="B282" t="s">
        <v>12</v>
      </c>
      <c r="C282" t="s">
        <v>17</v>
      </c>
    </row>
    <row r="283" spans="1:7" x14ac:dyDescent="0.4">
      <c r="B283" t="s">
        <v>12</v>
      </c>
      <c r="C283" t="s">
        <v>18</v>
      </c>
    </row>
    <row r="284" spans="1:7" x14ac:dyDescent="0.4">
      <c r="B284" t="s">
        <v>12</v>
      </c>
      <c r="C284" t="s">
        <v>49</v>
      </c>
    </row>
    <row r="285" spans="1:7" x14ac:dyDescent="0.4">
      <c r="B285" t="s">
        <v>12</v>
      </c>
      <c r="C285" t="s">
        <v>117</v>
      </c>
    </row>
    <row r="286" spans="1:7" x14ac:dyDescent="0.4">
      <c r="B286" t="s">
        <v>12</v>
      </c>
      <c r="C286" t="s">
        <v>136</v>
      </c>
    </row>
    <row r="287" spans="1:7" x14ac:dyDescent="0.4">
      <c r="B287" t="s">
        <v>12</v>
      </c>
      <c r="C287" t="s">
        <v>119</v>
      </c>
    </row>
    <row r="288" spans="1:7" x14ac:dyDescent="0.4">
      <c r="B288" t="s">
        <v>12</v>
      </c>
      <c r="C288" t="s">
        <v>137</v>
      </c>
    </row>
    <row r="289" spans="1:7" x14ac:dyDescent="0.4">
      <c r="B289" t="s">
        <v>12</v>
      </c>
      <c r="C289" t="s">
        <v>52</v>
      </c>
    </row>
    <row r="290" spans="1:7" x14ac:dyDescent="0.4">
      <c r="B290" t="s">
        <v>12</v>
      </c>
      <c r="C290" t="s">
        <v>53</v>
      </c>
    </row>
    <row r="291" spans="1:7" x14ac:dyDescent="0.4">
      <c r="B291" t="s">
        <v>12</v>
      </c>
      <c r="C291" t="s">
        <v>130</v>
      </c>
    </row>
    <row r="292" spans="1:7" x14ac:dyDescent="0.4">
      <c r="B292" t="s">
        <v>12</v>
      </c>
      <c r="C292" t="s">
        <v>131</v>
      </c>
    </row>
    <row r="293" spans="1:7" x14ac:dyDescent="0.4">
      <c r="B293" t="s">
        <v>12</v>
      </c>
      <c r="C293" t="s">
        <v>55</v>
      </c>
    </row>
    <row r="294" spans="1:7" x14ac:dyDescent="0.4">
      <c r="B294" t="s">
        <v>12</v>
      </c>
      <c r="C294" t="s">
        <v>56</v>
      </c>
    </row>
    <row r="295" spans="1:7" x14ac:dyDescent="0.4">
      <c r="B295" t="s">
        <v>12</v>
      </c>
      <c r="C295" t="s">
        <v>22</v>
      </c>
    </row>
    <row r="296" spans="1:7" x14ac:dyDescent="0.4">
      <c r="B296" t="s">
        <v>12</v>
      </c>
      <c r="C296" t="s">
        <v>23</v>
      </c>
    </row>
    <row r="297" spans="1:7" x14ac:dyDescent="0.4">
      <c r="B297" t="s">
        <v>12</v>
      </c>
      <c r="C297" t="s">
        <v>24</v>
      </c>
    </row>
    <row r="298" spans="1:7" x14ac:dyDescent="0.4">
      <c r="B298" t="s">
        <v>12</v>
      </c>
      <c r="C298" t="s">
        <v>25</v>
      </c>
    </row>
    <row r="299" spans="1:7" x14ac:dyDescent="0.4">
      <c r="B299" t="s">
        <v>12</v>
      </c>
      <c r="C299" t="s">
        <v>26</v>
      </c>
    </row>
    <row r="300" spans="1:7" x14ac:dyDescent="0.4">
      <c r="B300" t="s">
        <v>12</v>
      </c>
      <c r="C300" t="s">
        <v>138</v>
      </c>
    </row>
    <row r="301" spans="1:7" x14ac:dyDescent="0.4">
      <c r="A301">
        <v>14.3</v>
      </c>
      <c r="B301" t="s">
        <v>12</v>
      </c>
      <c r="C301" t="s">
        <v>139</v>
      </c>
      <c r="D301">
        <v>1</v>
      </c>
      <c r="E301" t="s">
        <v>15</v>
      </c>
      <c r="F301">
        <v>209925</v>
      </c>
      <c r="G301">
        <v>209925</v>
      </c>
    </row>
    <row r="302" spans="1:7" x14ac:dyDescent="0.4">
      <c r="B302" t="s">
        <v>12</v>
      </c>
      <c r="C302" t="s">
        <v>140</v>
      </c>
    </row>
    <row r="303" spans="1:7" x14ac:dyDescent="0.4">
      <c r="B303" t="s">
        <v>12</v>
      </c>
      <c r="C303" t="s">
        <v>17</v>
      </c>
    </row>
    <row r="304" spans="1:7" x14ac:dyDescent="0.4">
      <c r="B304" t="s">
        <v>12</v>
      </c>
      <c r="C304" t="s">
        <v>18</v>
      </c>
    </row>
    <row r="305" spans="1:7" x14ac:dyDescent="0.4">
      <c r="B305" t="s">
        <v>12</v>
      </c>
      <c r="C305" t="s">
        <v>141</v>
      </c>
    </row>
    <row r="306" spans="1:7" x14ac:dyDescent="0.4">
      <c r="B306" t="s">
        <v>12</v>
      </c>
      <c r="C306" t="s">
        <v>118</v>
      </c>
    </row>
    <row r="307" spans="1:7" x14ac:dyDescent="0.4">
      <c r="B307" t="s">
        <v>12</v>
      </c>
      <c r="C307" t="s">
        <v>136</v>
      </c>
    </row>
    <row r="308" spans="1:7" x14ac:dyDescent="0.4">
      <c r="B308" t="s">
        <v>12</v>
      </c>
      <c r="C308" t="s">
        <v>142</v>
      </c>
    </row>
    <row r="309" spans="1:7" x14ac:dyDescent="0.4">
      <c r="B309" t="s">
        <v>12</v>
      </c>
      <c r="C309" t="s">
        <v>119</v>
      </c>
    </row>
    <row r="310" spans="1:7" x14ac:dyDescent="0.4">
      <c r="B310" t="s">
        <v>12</v>
      </c>
      <c r="C310" t="s">
        <v>143</v>
      </c>
    </row>
    <row r="311" spans="1:7" x14ac:dyDescent="0.4">
      <c r="B311" t="s">
        <v>12</v>
      </c>
      <c r="C311" t="s">
        <v>144</v>
      </c>
    </row>
    <row r="312" spans="1:7" x14ac:dyDescent="0.4">
      <c r="B312" t="s">
        <v>12</v>
      </c>
      <c r="C312" t="s">
        <v>22</v>
      </c>
    </row>
    <row r="313" spans="1:7" x14ac:dyDescent="0.4">
      <c r="B313" t="s">
        <v>12</v>
      </c>
      <c r="C313" t="s">
        <v>23</v>
      </c>
    </row>
    <row r="314" spans="1:7" x14ac:dyDescent="0.4">
      <c r="B314" t="s">
        <v>12</v>
      </c>
      <c r="C314" t="s">
        <v>24</v>
      </c>
    </row>
    <row r="315" spans="1:7" x14ac:dyDescent="0.4">
      <c r="B315" t="s">
        <v>12</v>
      </c>
      <c r="C315" t="s">
        <v>145</v>
      </c>
    </row>
    <row r="316" spans="1:7" x14ac:dyDescent="0.4">
      <c r="B316" t="s">
        <v>12</v>
      </c>
      <c r="C316" t="s">
        <v>25</v>
      </c>
    </row>
    <row r="317" spans="1:7" x14ac:dyDescent="0.4">
      <c r="B317" t="s">
        <v>12</v>
      </c>
      <c r="C317" t="s">
        <v>26</v>
      </c>
    </row>
    <row r="318" spans="1:7" x14ac:dyDescent="0.4">
      <c r="B318" t="s">
        <v>12</v>
      </c>
      <c r="C318" t="s">
        <v>27</v>
      </c>
    </row>
    <row r="319" spans="1:7" x14ac:dyDescent="0.4">
      <c r="A319">
        <v>15</v>
      </c>
      <c r="B319" t="s">
        <v>12</v>
      </c>
      <c r="C319" t="s">
        <v>146</v>
      </c>
    </row>
    <row r="320" spans="1:7" x14ac:dyDescent="0.4">
      <c r="A320">
        <v>15.1</v>
      </c>
      <c r="B320" t="s">
        <v>12</v>
      </c>
      <c r="C320" t="s">
        <v>147</v>
      </c>
      <c r="D320">
        <v>1</v>
      </c>
      <c r="E320" t="s">
        <v>15</v>
      </c>
      <c r="F320">
        <v>49356</v>
      </c>
      <c r="G320">
        <v>49356</v>
      </c>
    </row>
    <row r="321" spans="1:7" x14ac:dyDescent="0.4">
      <c r="B321" t="s">
        <v>12</v>
      </c>
      <c r="C321" t="s">
        <v>148</v>
      </c>
    </row>
    <row r="322" spans="1:7" x14ac:dyDescent="0.4">
      <c r="B322" t="s">
        <v>12</v>
      </c>
      <c r="C322" t="s">
        <v>17</v>
      </c>
    </row>
    <row r="323" spans="1:7" x14ac:dyDescent="0.4">
      <c r="B323" t="s">
        <v>12</v>
      </c>
      <c r="C323" t="s">
        <v>18</v>
      </c>
    </row>
    <row r="324" spans="1:7" x14ac:dyDescent="0.4">
      <c r="B324" t="s">
        <v>12</v>
      </c>
      <c r="C324" t="s">
        <v>128</v>
      </c>
    </row>
    <row r="325" spans="1:7" x14ac:dyDescent="0.4">
      <c r="B325" t="s">
        <v>12</v>
      </c>
      <c r="C325" t="s">
        <v>90</v>
      </c>
    </row>
    <row r="326" spans="1:7" x14ac:dyDescent="0.4">
      <c r="B326" t="s">
        <v>12</v>
      </c>
      <c r="C326" t="s">
        <v>22</v>
      </c>
    </row>
    <row r="327" spans="1:7" x14ac:dyDescent="0.4">
      <c r="B327" t="s">
        <v>12</v>
      </c>
      <c r="C327" t="s">
        <v>23</v>
      </c>
    </row>
    <row r="328" spans="1:7" x14ac:dyDescent="0.4">
      <c r="B328" t="s">
        <v>12</v>
      </c>
      <c r="C328" t="s">
        <v>24</v>
      </c>
    </row>
    <row r="329" spans="1:7" x14ac:dyDescent="0.4">
      <c r="B329" t="s">
        <v>12</v>
      </c>
      <c r="C329" t="s">
        <v>25</v>
      </c>
    </row>
    <row r="330" spans="1:7" x14ac:dyDescent="0.4">
      <c r="B330" t="s">
        <v>12</v>
      </c>
      <c r="C330" t="s">
        <v>26</v>
      </c>
    </row>
    <row r="331" spans="1:7" x14ac:dyDescent="0.4">
      <c r="B331" t="s">
        <v>12</v>
      </c>
      <c r="C331" t="s">
        <v>149</v>
      </c>
    </row>
    <row r="332" spans="1:7" x14ac:dyDescent="0.4">
      <c r="A332">
        <v>16</v>
      </c>
      <c r="B332" t="s">
        <v>12</v>
      </c>
      <c r="C332" t="s">
        <v>150</v>
      </c>
    </row>
    <row r="333" spans="1:7" x14ac:dyDescent="0.4">
      <c r="A333">
        <v>16.100000000000001</v>
      </c>
      <c r="B333" t="s">
        <v>12</v>
      </c>
      <c r="C333" t="s">
        <v>147</v>
      </c>
      <c r="D333">
        <v>1</v>
      </c>
      <c r="E333" t="s">
        <v>15</v>
      </c>
      <c r="F333">
        <v>27723</v>
      </c>
      <c r="G333">
        <v>27723</v>
      </c>
    </row>
    <row r="334" spans="1:7" x14ac:dyDescent="0.4">
      <c r="B334" t="s">
        <v>12</v>
      </c>
      <c r="C334" t="s">
        <v>151</v>
      </c>
    </row>
    <row r="335" spans="1:7" x14ac:dyDescent="0.4">
      <c r="B335" t="s">
        <v>12</v>
      </c>
      <c r="C335" t="s">
        <v>17</v>
      </c>
    </row>
    <row r="336" spans="1:7" x14ac:dyDescent="0.4">
      <c r="B336" t="s">
        <v>12</v>
      </c>
      <c r="C336" t="s">
        <v>18</v>
      </c>
    </row>
    <row r="337" spans="1:7" x14ac:dyDescent="0.4">
      <c r="B337" t="s">
        <v>12</v>
      </c>
      <c r="C337" t="s">
        <v>152</v>
      </c>
    </row>
    <row r="338" spans="1:7" x14ac:dyDescent="0.4">
      <c r="B338" t="s">
        <v>12</v>
      </c>
      <c r="C338" t="s">
        <v>153</v>
      </c>
    </row>
    <row r="339" spans="1:7" x14ac:dyDescent="0.4">
      <c r="B339" t="s">
        <v>12</v>
      </c>
      <c r="C339" t="s">
        <v>22</v>
      </c>
    </row>
    <row r="340" spans="1:7" x14ac:dyDescent="0.4">
      <c r="B340" t="s">
        <v>12</v>
      </c>
      <c r="C340" t="s">
        <v>23</v>
      </c>
    </row>
    <row r="341" spans="1:7" x14ac:dyDescent="0.4">
      <c r="B341" t="s">
        <v>12</v>
      </c>
      <c r="C341" t="s">
        <v>24</v>
      </c>
    </row>
    <row r="342" spans="1:7" x14ac:dyDescent="0.4">
      <c r="B342" t="s">
        <v>12</v>
      </c>
      <c r="C342" t="s">
        <v>91</v>
      </c>
    </row>
    <row r="343" spans="1:7" x14ac:dyDescent="0.4">
      <c r="B343" t="s">
        <v>12</v>
      </c>
      <c r="C343" t="s">
        <v>26</v>
      </c>
    </row>
    <row r="344" spans="1:7" x14ac:dyDescent="0.4">
      <c r="B344" t="s">
        <v>12</v>
      </c>
      <c r="C344" t="s">
        <v>46</v>
      </c>
    </row>
    <row r="345" spans="1:7" x14ac:dyDescent="0.4">
      <c r="B345" t="s">
        <v>12</v>
      </c>
      <c r="C345" t="s">
        <v>96</v>
      </c>
    </row>
    <row r="346" spans="1:7" x14ac:dyDescent="0.4">
      <c r="A346">
        <v>17</v>
      </c>
      <c r="B346" t="s">
        <v>12</v>
      </c>
      <c r="C346" t="s">
        <v>154</v>
      </c>
    </row>
    <row r="347" spans="1:7" x14ac:dyDescent="0.4">
      <c r="A347">
        <v>17.100000000000001</v>
      </c>
      <c r="B347" t="s">
        <v>12</v>
      </c>
      <c r="C347" t="s">
        <v>147</v>
      </c>
      <c r="D347">
        <v>1</v>
      </c>
      <c r="E347" t="s">
        <v>15</v>
      </c>
      <c r="F347">
        <v>41532</v>
      </c>
      <c r="G347">
        <v>41532</v>
      </c>
    </row>
    <row r="348" spans="1:7" x14ac:dyDescent="0.4">
      <c r="B348" t="s">
        <v>12</v>
      </c>
      <c r="C348" t="s">
        <v>155</v>
      </c>
    </row>
    <row r="349" spans="1:7" x14ac:dyDescent="0.4">
      <c r="B349" t="s">
        <v>12</v>
      </c>
      <c r="C349" t="s">
        <v>17</v>
      </c>
    </row>
    <row r="350" spans="1:7" x14ac:dyDescent="0.4">
      <c r="B350" t="s">
        <v>12</v>
      </c>
      <c r="C350" t="s">
        <v>18</v>
      </c>
    </row>
    <row r="351" spans="1:7" x14ac:dyDescent="0.4">
      <c r="B351" t="s">
        <v>12</v>
      </c>
      <c r="C351" t="s">
        <v>117</v>
      </c>
    </row>
    <row r="352" spans="1:7" x14ac:dyDescent="0.4">
      <c r="B352" t="s">
        <v>12</v>
      </c>
      <c r="C352" t="s">
        <v>152</v>
      </c>
    </row>
    <row r="353" spans="1:7" x14ac:dyDescent="0.4">
      <c r="B353" t="s">
        <v>12</v>
      </c>
      <c r="C353" t="s">
        <v>90</v>
      </c>
    </row>
    <row r="354" spans="1:7" x14ac:dyDescent="0.4">
      <c r="B354" t="s">
        <v>12</v>
      </c>
      <c r="C354" t="s">
        <v>22</v>
      </c>
    </row>
    <row r="355" spans="1:7" x14ac:dyDescent="0.4">
      <c r="B355" t="s">
        <v>12</v>
      </c>
      <c r="C355" t="s">
        <v>23</v>
      </c>
    </row>
    <row r="356" spans="1:7" x14ac:dyDescent="0.4">
      <c r="B356" t="s">
        <v>12</v>
      </c>
      <c r="C356" t="s">
        <v>24</v>
      </c>
    </row>
    <row r="357" spans="1:7" x14ac:dyDescent="0.4">
      <c r="B357" t="s">
        <v>12</v>
      </c>
      <c r="C357" t="s">
        <v>25</v>
      </c>
    </row>
    <row r="358" spans="1:7" x14ac:dyDescent="0.4">
      <c r="B358" t="s">
        <v>12</v>
      </c>
      <c r="C358" t="s">
        <v>26</v>
      </c>
    </row>
    <row r="359" spans="1:7" x14ac:dyDescent="0.4">
      <c r="B359" t="s">
        <v>12</v>
      </c>
      <c r="C359" t="s">
        <v>95</v>
      </c>
    </row>
    <row r="360" spans="1:7" x14ac:dyDescent="0.4">
      <c r="A360">
        <v>18</v>
      </c>
      <c r="B360" t="s">
        <v>12</v>
      </c>
      <c r="C360" t="s">
        <v>156</v>
      </c>
    </row>
    <row r="361" spans="1:7" x14ac:dyDescent="0.4">
      <c r="A361">
        <v>18.100000000000001</v>
      </c>
      <c r="B361" t="s">
        <v>12</v>
      </c>
      <c r="C361" t="s">
        <v>157</v>
      </c>
      <c r="D361">
        <v>17</v>
      </c>
      <c r="E361" t="s">
        <v>15</v>
      </c>
      <c r="F361">
        <v>8200</v>
      </c>
      <c r="G361">
        <v>139400</v>
      </c>
    </row>
    <row r="362" spans="1:7" x14ac:dyDescent="0.4">
      <c r="B362" t="s">
        <v>12</v>
      </c>
      <c r="C362" t="s">
        <v>158</v>
      </c>
    </row>
    <row r="363" spans="1:7" x14ac:dyDescent="0.4">
      <c r="B363" t="s">
        <v>12</v>
      </c>
      <c r="C363" t="s">
        <v>159</v>
      </c>
    </row>
    <row r="364" spans="1:7" x14ac:dyDescent="0.4">
      <c r="B364" t="s">
        <v>12</v>
      </c>
      <c r="C364" t="s">
        <v>105</v>
      </c>
    </row>
    <row r="365" spans="1:7" x14ac:dyDescent="0.4">
      <c r="A365">
        <v>19</v>
      </c>
      <c r="B365" t="s">
        <v>12</v>
      </c>
      <c r="C365" t="s">
        <v>160</v>
      </c>
    </row>
    <row r="366" spans="1:7" x14ac:dyDescent="0.4">
      <c r="A366">
        <v>19.100000000000001</v>
      </c>
      <c r="B366" t="s">
        <v>12</v>
      </c>
      <c r="C366" t="s">
        <v>126</v>
      </c>
      <c r="D366">
        <v>1</v>
      </c>
      <c r="E366" t="s">
        <v>15</v>
      </c>
      <c r="F366">
        <v>127131</v>
      </c>
      <c r="G366">
        <v>127131</v>
      </c>
    </row>
    <row r="367" spans="1:7" x14ac:dyDescent="0.4">
      <c r="B367" t="s">
        <v>12</v>
      </c>
      <c r="C367" t="s">
        <v>161</v>
      </c>
    </row>
    <row r="368" spans="1:7" x14ac:dyDescent="0.4">
      <c r="B368" t="s">
        <v>12</v>
      </c>
      <c r="C368" t="s">
        <v>17</v>
      </c>
    </row>
    <row r="369" spans="2:3" x14ac:dyDescent="0.4">
      <c r="B369" t="s">
        <v>12</v>
      </c>
      <c r="C369" t="s">
        <v>18</v>
      </c>
    </row>
    <row r="370" spans="2:3" x14ac:dyDescent="0.4">
      <c r="B370" t="s">
        <v>12</v>
      </c>
      <c r="C370" t="s">
        <v>49</v>
      </c>
    </row>
    <row r="371" spans="2:3" x14ac:dyDescent="0.4">
      <c r="B371" t="s">
        <v>12</v>
      </c>
      <c r="C371" t="s">
        <v>128</v>
      </c>
    </row>
    <row r="372" spans="2:3" x14ac:dyDescent="0.4">
      <c r="B372" t="s">
        <v>12</v>
      </c>
      <c r="C372" t="s">
        <v>152</v>
      </c>
    </row>
    <row r="373" spans="2:3" x14ac:dyDescent="0.4">
      <c r="B373" t="s">
        <v>12</v>
      </c>
      <c r="C373" t="s">
        <v>90</v>
      </c>
    </row>
    <row r="374" spans="2:3" x14ac:dyDescent="0.4">
      <c r="B374" t="s">
        <v>12</v>
      </c>
      <c r="C374" t="s">
        <v>162</v>
      </c>
    </row>
    <row r="375" spans="2:3" x14ac:dyDescent="0.4">
      <c r="B375" t="s">
        <v>12</v>
      </c>
      <c r="C375" t="s">
        <v>163</v>
      </c>
    </row>
    <row r="376" spans="2:3" x14ac:dyDescent="0.4">
      <c r="B376" t="s">
        <v>12</v>
      </c>
      <c r="C376" t="s">
        <v>164</v>
      </c>
    </row>
    <row r="377" spans="2:3" x14ac:dyDescent="0.4">
      <c r="B377" t="s">
        <v>12</v>
      </c>
      <c r="C377" t="s">
        <v>130</v>
      </c>
    </row>
    <row r="378" spans="2:3" x14ac:dyDescent="0.4">
      <c r="B378" t="s">
        <v>12</v>
      </c>
      <c r="C378" t="s">
        <v>131</v>
      </c>
    </row>
    <row r="379" spans="2:3" x14ac:dyDescent="0.4">
      <c r="B379" t="s">
        <v>12</v>
      </c>
      <c r="C379" t="s">
        <v>55</v>
      </c>
    </row>
    <row r="380" spans="2:3" x14ac:dyDescent="0.4">
      <c r="B380" t="s">
        <v>12</v>
      </c>
      <c r="C380" t="s">
        <v>22</v>
      </c>
    </row>
    <row r="381" spans="2:3" x14ac:dyDescent="0.4">
      <c r="B381" t="s">
        <v>12</v>
      </c>
      <c r="C381" t="s">
        <v>23</v>
      </c>
    </row>
    <row r="382" spans="2:3" x14ac:dyDescent="0.4">
      <c r="B382" t="s">
        <v>12</v>
      </c>
      <c r="C382" t="s">
        <v>24</v>
      </c>
    </row>
    <row r="383" spans="2:3" x14ac:dyDescent="0.4">
      <c r="B383" t="s">
        <v>12</v>
      </c>
      <c r="C383" t="s">
        <v>25</v>
      </c>
    </row>
    <row r="384" spans="2:3" x14ac:dyDescent="0.4">
      <c r="B384" t="s">
        <v>12</v>
      </c>
      <c r="C384" t="s">
        <v>26</v>
      </c>
    </row>
    <row r="385" spans="1:7" x14ac:dyDescent="0.4">
      <c r="B385" t="s">
        <v>12</v>
      </c>
      <c r="C385" t="s">
        <v>149</v>
      </c>
    </row>
    <row r="386" spans="1:7" x14ac:dyDescent="0.4">
      <c r="C386" t="s">
        <v>165</v>
      </c>
    </row>
    <row r="387" spans="1:7" x14ac:dyDescent="0.4">
      <c r="A387">
        <v>1</v>
      </c>
      <c r="B387" t="s">
        <v>166</v>
      </c>
      <c r="C387" t="s">
        <v>97</v>
      </c>
    </row>
    <row r="388" spans="1:7" x14ac:dyDescent="0.4">
      <c r="A388">
        <v>1.1000000000000001</v>
      </c>
      <c r="B388" t="s">
        <v>166</v>
      </c>
      <c r="C388" t="s">
        <v>167</v>
      </c>
      <c r="D388">
        <v>12</v>
      </c>
      <c r="E388" t="s">
        <v>15</v>
      </c>
      <c r="F388">
        <v>40426</v>
      </c>
      <c r="G388">
        <v>485112</v>
      </c>
    </row>
    <row r="389" spans="1:7" x14ac:dyDescent="0.4">
      <c r="B389" t="s">
        <v>166</v>
      </c>
      <c r="C389" t="s">
        <v>101</v>
      </c>
    </row>
    <row r="390" spans="1:7" x14ac:dyDescent="0.4">
      <c r="A390">
        <v>2</v>
      </c>
      <c r="B390" t="s">
        <v>166</v>
      </c>
      <c r="C390" t="s">
        <v>168</v>
      </c>
    </row>
    <row r="391" spans="1:7" x14ac:dyDescent="0.4">
      <c r="A391">
        <v>2.1</v>
      </c>
      <c r="B391" t="s">
        <v>166</v>
      </c>
      <c r="C391" t="s">
        <v>169</v>
      </c>
      <c r="D391">
        <v>6</v>
      </c>
      <c r="E391" t="s">
        <v>15</v>
      </c>
      <c r="F391">
        <v>55650</v>
      </c>
      <c r="G391">
        <v>333900</v>
      </c>
    </row>
    <row r="392" spans="1:7" x14ac:dyDescent="0.4">
      <c r="B392" t="s">
        <v>166</v>
      </c>
      <c r="C392" t="s">
        <v>170</v>
      </c>
    </row>
    <row r="393" spans="1:7" x14ac:dyDescent="0.4">
      <c r="A393">
        <v>3</v>
      </c>
      <c r="B393" t="s">
        <v>166</v>
      </c>
      <c r="C393" t="s">
        <v>106</v>
      </c>
    </row>
    <row r="394" spans="1:7" x14ac:dyDescent="0.4">
      <c r="A394">
        <v>3.1</v>
      </c>
      <c r="B394" t="s">
        <v>166</v>
      </c>
      <c r="C394" t="s">
        <v>103</v>
      </c>
      <c r="D394">
        <v>6</v>
      </c>
      <c r="E394" t="s">
        <v>15</v>
      </c>
      <c r="F394">
        <v>22576</v>
      </c>
      <c r="G394">
        <v>135456</v>
      </c>
    </row>
    <row r="395" spans="1:7" x14ac:dyDescent="0.4">
      <c r="B395" t="s">
        <v>166</v>
      </c>
      <c r="C395" t="s">
        <v>104</v>
      </c>
    </row>
    <row r="396" spans="1:7" x14ac:dyDescent="0.4">
      <c r="B396" t="s">
        <v>166</v>
      </c>
      <c r="C396" t="s">
        <v>45</v>
      </c>
    </row>
    <row r="397" spans="1:7" x14ac:dyDescent="0.4">
      <c r="B397" t="s">
        <v>166</v>
      </c>
      <c r="C397" t="s">
        <v>105</v>
      </c>
    </row>
    <row r="398" spans="1:7" x14ac:dyDescent="0.4">
      <c r="A398">
        <v>3.2</v>
      </c>
      <c r="B398" t="s">
        <v>166</v>
      </c>
      <c r="C398" t="s">
        <v>103</v>
      </c>
      <c r="D398">
        <v>4</v>
      </c>
      <c r="E398" t="s">
        <v>15</v>
      </c>
      <c r="F398">
        <v>20476</v>
      </c>
      <c r="G398">
        <v>81904</v>
      </c>
    </row>
    <row r="399" spans="1:7" x14ac:dyDescent="0.4">
      <c r="B399" t="s">
        <v>166</v>
      </c>
      <c r="C399" t="s">
        <v>107</v>
      </c>
    </row>
    <row r="400" spans="1:7" x14ac:dyDescent="0.4">
      <c r="B400" t="s">
        <v>166</v>
      </c>
      <c r="C400" t="s">
        <v>45</v>
      </c>
    </row>
    <row r="401" spans="1:7" x14ac:dyDescent="0.4">
      <c r="B401" t="s">
        <v>166</v>
      </c>
      <c r="C401" t="s">
        <v>105</v>
      </c>
    </row>
    <row r="402" spans="1:7" x14ac:dyDescent="0.4">
      <c r="A402">
        <v>4</v>
      </c>
      <c r="B402" t="s">
        <v>166</v>
      </c>
      <c r="C402" t="s">
        <v>171</v>
      </c>
    </row>
    <row r="403" spans="1:7" x14ac:dyDescent="0.4">
      <c r="A403">
        <v>4.0999999999999996</v>
      </c>
      <c r="B403" t="s">
        <v>166</v>
      </c>
      <c r="C403" t="s">
        <v>126</v>
      </c>
      <c r="D403">
        <v>1</v>
      </c>
      <c r="E403" t="s">
        <v>15</v>
      </c>
      <c r="F403">
        <v>100033</v>
      </c>
      <c r="G403">
        <v>100033</v>
      </c>
    </row>
    <row r="404" spans="1:7" x14ac:dyDescent="0.4">
      <c r="B404" t="s">
        <v>166</v>
      </c>
      <c r="C404" t="s">
        <v>172</v>
      </c>
    </row>
    <row r="405" spans="1:7" x14ac:dyDescent="0.4">
      <c r="B405" t="s">
        <v>166</v>
      </c>
      <c r="C405" t="s">
        <v>17</v>
      </c>
    </row>
    <row r="406" spans="1:7" x14ac:dyDescent="0.4">
      <c r="B406" t="s">
        <v>166</v>
      </c>
      <c r="C406" t="s">
        <v>18</v>
      </c>
    </row>
    <row r="407" spans="1:7" x14ac:dyDescent="0.4">
      <c r="B407" t="s">
        <v>166</v>
      </c>
      <c r="C407" t="s">
        <v>49</v>
      </c>
    </row>
    <row r="408" spans="1:7" x14ac:dyDescent="0.4">
      <c r="B408" t="s">
        <v>166</v>
      </c>
      <c r="C408" t="s">
        <v>142</v>
      </c>
    </row>
    <row r="409" spans="1:7" x14ac:dyDescent="0.4">
      <c r="B409" t="s">
        <v>166</v>
      </c>
      <c r="C409" t="s">
        <v>137</v>
      </c>
    </row>
    <row r="410" spans="1:7" x14ac:dyDescent="0.4">
      <c r="B410" t="s">
        <v>166</v>
      </c>
      <c r="C410" t="s">
        <v>163</v>
      </c>
    </row>
    <row r="411" spans="1:7" x14ac:dyDescent="0.4">
      <c r="B411" t="s">
        <v>166</v>
      </c>
      <c r="C411" t="s">
        <v>164</v>
      </c>
    </row>
    <row r="412" spans="1:7" x14ac:dyDescent="0.4">
      <c r="B412" t="s">
        <v>166</v>
      </c>
      <c r="C412" t="s">
        <v>130</v>
      </c>
    </row>
    <row r="413" spans="1:7" x14ac:dyDescent="0.4">
      <c r="B413" t="s">
        <v>166</v>
      </c>
      <c r="C413" t="s">
        <v>131</v>
      </c>
    </row>
    <row r="414" spans="1:7" x14ac:dyDescent="0.4">
      <c r="B414" t="s">
        <v>166</v>
      </c>
      <c r="C414" t="s">
        <v>55</v>
      </c>
    </row>
    <row r="415" spans="1:7" x14ac:dyDescent="0.4">
      <c r="B415" t="s">
        <v>166</v>
      </c>
      <c r="C415" t="s">
        <v>173</v>
      </c>
    </row>
    <row r="416" spans="1:7" x14ac:dyDescent="0.4">
      <c r="B416" t="s">
        <v>166</v>
      </c>
      <c r="C416" t="s">
        <v>22</v>
      </c>
    </row>
    <row r="417" spans="1:7" x14ac:dyDescent="0.4">
      <c r="B417" t="s">
        <v>166</v>
      </c>
      <c r="C417" t="s">
        <v>23</v>
      </c>
    </row>
    <row r="418" spans="1:7" x14ac:dyDescent="0.4">
      <c r="B418" t="s">
        <v>166</v>
      </c>
      <c r="C418" t="s">
        <v>24</v>
      </c>
    </row>
    <row r="419" spans="1:7" x14ac:dyDescent="0.4">
      <c r="B419" t="s">
        <v>166</v>
      </c>
      <c r="C419" t="s">
        <v>25</v>
      </c>
    </row>
    <row r="420" spans="1:7" x14ac:dyDescent="0.4">
      <c r="B420" t="s">
        <v>166</v>
      </c>
      <c r="C420" t="s">
        <v>26</v>
      </c>
    </row>
    <row r="421" spans="1:7" x14ac:dyDescent="0.4">
      <c r="B421" t="s">
        <v>166</v>
      </c>
      <c r="C421" t="s">
        <v>95</v>
      </c>
    </row>
    <row r="422" spans="1:7" x14ac:dyDescent="0.4">
      <c r="A422">
        <v>5</v>
      </c>
      <c r="B422" t="s">
        <v>166</v>
      </c>
      <c r="C422" t="s">
        <v>102</v>
      </c>
    </row>
    <row r="423" spans="1:7" x14ac:dyDescent="0.4">
      <c r="A423">
        <v>5.0999999999999996</v>
      </c>
      <c r="B423" t="s">
        <v>166</v>
      </c>
      <c r="C423" t="s">
        <v>103</v>
      </c>
      <c r="D423">
        <v>16</v>
      </c>
      <c r="E423" t="s">
        <v>15</v>
      </c>
      <c r="F423">
        <v>22576</v>
      </c>
      <c r="G423">
        <v>361216</v>
      </c>
    </row>
    <row r="424" spans="1:7" x14ac:dyDescent="0.4">
      <c r="B424" t="s">
        <v>166</v>
      </c>
      <c r="C424" t="s">
        <v>104</v>
      </c>
    </row>
    <row r="425" spans="1:7" x14ac:dyDescent="0.4">
      <c r="B425" t="s">
        <v>166</v>
      </c>
      <c r="C425" t="s">
        <v>45</v>
      </c>
    </row>
    <row r="426" spans="1:7" x14ac:dyDescent="0.4">
      <c r="B426" t="s">
        <v>166</v>
      </c>
      <c r="C426" t="s">
        <v>105</v>
      </c>
    </row>
    <row r="427" spans="1:7" x14ac:dyDescent="0.4">
      <c r="A427">
        <v>5.2</v>
      </c>
      <c r="B427" t="s">
        <v>166</v>
      </c>
      <c r="C427" t="s">
        <v>14</v>
      </c>
      <c r="D427">
        <v>1</v>
      </c>
      <c r="E427" t="s">
        <v>15</v>
      </c>
      <c r="F427">
        <v>47786</v>
      </c>
      <c r="G427">
        <v>47786</v>
      </c>
    </row>
    <row r="428" spans="1:7" x14ac:dyDescent="0.4">
      <c r="B428" t="s">
        <v>166</v>
      </c>
      <c r="C428" t="s">
        <v>174</v>
      </c>
    </row>
    <row r="429" spans="1:7" x14ac:dyDescent="0.4">
      <c r="B429" t="s">
        <v>166</v>
      </c>
      <c r="C429" t="s">
        <v>17</v>
      </c>
    </row>
    <row r="430" spans="1:7" x14ac:dyDescent="0.4">
      <c r="B430" t="s">
        <v>166</v>
      </c>
      <c r="C430" t="s">
        <v>18</v>
      </c>
    </row>
    <row r="431" spans="1:7" x14ac:dyDescent="0.4">
      <c r="B431" t="s">
        <v>166</v>
      </c>
      <c r="C431" t="s">
        <v>175</v>
      </c>
    </row>
    <row r="432" spans="1:7" x14ac:dyDescent="0.4">
      <c r="B432" t="s">
        <v>166</v>
      </c>
      <c r="C432" t="s">
        <v>51</v>
      </c>
    </row>
    <row r="433" spans="1:7" x14ac:dyDescent="0.4">
      <c r="B433" t="s">
        <v>166</v>
      </c>
      <c r="C433" t="s">
        <v>22</v>
      </c>
    </row>
    <row r="434" spans="1:7" x14ac:dyDescent="0.4">
      <c r="B434" t="s">
        <v>166</v>
      </c>
      <c r="C434" t="s">
        <v>23</v>
      </c>
    </row>
    <row r="435" spans="1:7" x14ac:dyDescent="0.4">
      <c r="B435" t="s">
        <v>166</v>
      </c>
      <c r="C435" t="s">
        <v>24</v>
      </c>
    </row>
    <row r="436" spans="1:7" x14ac:dyDescent="0.4">
      <c r="B436" t="s">
        <v>166</v>
      </c>
      <c r="C436" t="s">
        <v>25</v>
      </c>
    </row>
    <row r="437" spans="1:7" x14ac:dyDescent="0.4">
      <c r="B437" t="s">
        <v>166</v>
      </c>
      <c r="C437" t="s">
        <v>26</v>
      </c>
    </row>
    <row r="438" spans="1:7" x14ac:dyDescent="0.4">
      <c r="B438" t="s">
        <v>166</v>
      </c>
      <c r="C438" t="s">
        <v>69</v>
      </c>
    </row>
    <row r="439" spans="1:7" x14ac:dyDescent="0.4">
      <c r="B439" t="s">
        <v>166</v>
      </c>
      <c r="C439" t="s">
        <v>28</v>
      </c>
    </row>
    <row r="440" spans="1:7" x14ac:dyDescent="0.4">
      <c r="A440">
        <v>6</v>
      </c>
      <c r="B440" t="s">
        <v>166</v>
      </c>
      <c r="C440" t="s">
        <v>156</v>
      </c>
    </row>
    <row r="441" spans="1:7" x14ac:dyDescent="0.4">
      <c r="A441">
        <v>6.1</v>
      </c>
      <c r="B441" t="s">
        <v>166</v>
      </c>
      <c r="C441" t="s">
        <v>157</v>
      </c>
      <c r="D441">
        <v>9</v>
      </c>
      <c r="E441" t="s">
        <v>15</v>
      </c>
      <c r="F441">
        <v>8610</v>
      </c>
      <c r="G441">
        <v>77490</v>
      </c>
    </row>
    <row r="442" spans="1:7" x14ac:dyDescent="0.4">
      <c r="B442" t="s">
        <v>166</v>
      </c>
      <c r="C442" t="s">
        <v>158</v>
      </c>
    </row>
    <row r="443" spans="1:7" x14ac:dyDescent="0.4">
      <c r="B443" t="s">
        <v>166</v>
      </c>
      <c r="C443" t="s">
        <v>159</v>
      </c>
    </row>
    <row r="444" spans="1:7" x14ac:dyDescent="0.4">
      <c r="B444" t="s">
        <v>166</v>
      </c>
      <c r="C444" t="s">
        <v>105</v>
      </c>
    </row>
    <row r="445" spans="1:7" x14ac:dyDescent="0.4">
      <c r="A445">
        <v>7</v>
      </c>
      <c r="B445" t="s">
        <v>166</v>
      </c>
      <c r="C445" t="s">
        <v>176</v>
      </c>
    </row>
    <row r="446" spans="1:7" x14ac:dyDescent="0.4">
      <c r="A446">
        <v>7.1</v>
      </c>
      <c r="B446" t="s">
        <v>166</v>
      </c>
      <c r="C446" t="s">
        <v>177</v>
      </c>
      <c r="D446">
        <v>1</v>
      </c>
      <c r="E446" t="s">
        <v>15</v>
      </c>
      <c r="F446">
        <v>24570</v>
      </c>
      <c r="G446">
        <v>24570</v>
      </c>
    </row>
    <row r="447" spans="1:7" x14ac:dyDescent="0.4">
      <c r="B447" t="s">
        <v>166</v>
      </c>
      <c r="C447" t="s">
        <v>44</v>
      </c>
    </row>
    <row r="448" spans="1:7" x14ac:dyDescent="0.4">
      <c r="B448" t="s">
        <v>166</v>
      </c>
      <c r="C448" t="s">
        <v>45</v>
      </c>
    </row>
    <row r="449" spans="1:7" x14ac:dyDescent="0.4">
      <c r="B449" t="s">
        <v>166</v>
      </c>
      <c r="C449" t="s">
        <v>18</v>
      </c>
    </row>
    <row r="450" spans="1:7" x14ac:dyDescent="0.4">
      <c r="B450" t="s">
        <v>166</v>
      </c>
      <c r="C450" t="s">
        <v>46</v>
      </c>
    </row>
    <row r="451" spans="1:7" x14ac:dyDescent="0.4">
      <c r="A451">
        <v>7.2</v>
      </c>
      <c r="B451" t="s">
        <v>166</v>
      </c>
      <c r="C451" t="s">
        <v>98</v>
      </c>
      <c r="D451">
        <v>1</v>
      </c>
      <c r="E451" t="s">
        <v>15</v>
      </c>
      <c r="F451">
        <v>55650</v>
      </c>
      <c r="G451">
        <v>55650</v>
      </c>
    </row>
    <row r="452" spans="1:7" x14ac:dyDescent="0.4">
      <c r="B452" t="s">
        <v>166</v>
      </c>
      <c r="C452" t="s">
        <v>99</v>
      </c>
    </row>
    <row r="453" spans="1:7" x14ac:dyDescent="0.4">
      <c r="A453">
        <v>7.3</v>
      </c>
      <c r="B453" t="s">
        <v>166</v>
      </c>
      <c r="C453" t="s">
        <v>133</v>
      </c>
      <c r="D453">
        <v>4</v>
      </c>
      <c r="E453" t="s">
        <v>15</v>
      </c>
      <c r="F453">
        <v>202577</v>
      </c>
      <c r="G453">
        <v>810308</v>
      </c>
    </row>
    <row r="454" spans="1:7" x14ac:dyDescent="0.4">
      <c r="B454" t="s">
        <v>166</v>
      </c>
      <c r="C454" t="s">
        <v>124</v>
      </c>
    </row>
    <row r="455" spans="1:7" x14ac:dyDescent="0.4">
      <c r="B455" t="s">
        <v>166</v>
      </c>
      <c r="C455" t="s">
        <v>73</v>
      </c>
    </row>
    <row r="456" spans="1:7" x14ac:dyDescent="0.4">
      <c r="B456" t="s">
        <v>166</v>
      </c>
      <c r="C456" t="s">
        <v>74</v>
      </c>
    </row>
    <row r="457" spans="1:7" x14ac:dyDescent="0.4">
      <c r="B457" t="s">
        <v>166</v>
      </c>
      <c r="C457" t="s">
        <v>75</v>
      </c>
    </row>
    <row r="458" spans="1:7" x14ac:dyDescent="0.4">
      <c r="B458" t="s">
        <v>166</v>
      </c>
      <c r="C458" t="s">
        <v>76</v>
      </c>
    </row>
    <row r="459" spans="1:7" x14ac:dyDescent="0.4">
      <c r="B459" t="s">
        <v>166</v>
      </c>
      <c r="C459" t="s">
        <v>77</v>
      </c>
    </row>
    <row r="460" spans="1:7" x14ac:dyDescent="0.4">
      <c r="B460" t="s">
        <v>166</v>
      </c>
      <c r="C460" t="s">
        <v>78</v>
      </c>
    </row>
    <row r="461" spans="1:7" x14ac:dyDescent="0.4">
      <c r="B461" t="s">
        <v>166</v>
      </c>
      <c r="C461" t="s">
        <v>79</v>
      </c>
    </row>
    <row r="462" spans="1:7" x14ac:dyDescent="0.4">
      <c r="B462" t="s">
        <v>166</v>
      </c>
      <c r="C462" t="s">
        <v>80</v>
      </c>
    </row>
    <row r="463" spans="1:7" x14ac:dyDescent="0.4">
      <c r="B463" t="s">
        <v>166</v>
      </c>
      <c r="C463" t="s">
        <v>81</v>
      </c>
    </row>
    <row r="464" spans="1:7" x14ac:dyDescent="0.4">
      <c r="B464" t="s">
        <v>166</v>
      </c>
      <c r="C464" t="s">
        <v>82</v>
      </c>
    </row>
    <row r="465" spans="1:7" x14ac:dyDescent="0.4">
      <c r="B465" t="s">
        <v>166</v>
      </c>
      <c r="C465" t="s">
        <v>83</v>
      </c>
    </row>
    <row r="466" spans="1:7" x14ac:dyDescent="0.4">
      <c r="B466" t="s">
        <v>166</v>
      </c>
      <c r="C466" t="s">
        <v>84</v>
      </c>
    </row>
    <row r="467" spans="1:7" x14ac:dyDescent="0.4">
      <c r="B467" t="s">
        <v>166</v>
      </c>
      <c r="C467" t="s">
        <v>86</v>
      </c>
    </row>
    <row r="468" spans="1:7" x14ac:dyDescent="0.4">
      <c r="B468" t="s">
        <v>166</v>
      </c>
      <c r="C468" t="s">
        <v>125</v>
      </c>
    </row>
    <row r="469" spans="1:7" x14ac:dyDescent="0.4">
      <c r="B469" t="s">
        <v>166</v>
      </c>
      <c r="C469" t="s">
        <v>25</v>
      </c>
    </row>
    <row r="470" spans="1:7" x14ac:dyDescent="0.4">
      <c r="B470" t="s">
        <v>166</v>
      </c>
      <c r="C470" t="s">
        <v>26</v>
      </c>
    </row>
    <row r="471" spans="1:7" x14ac:dyDescent="0.4">
      <c r="A471">
        <v>7.4</v>
      </c>
      <c r="B471" t="s">
        <v>166</v>
      </c>
      <c r="C471" t="s">
        <v>147</v>
      </c>
      <c r="D471">
        <v>1</v>
      </c>
      <c r="E471" t="s">
        <v>15</v>
      </c>
      <c r="F471">
        <v>60744</v>
      </c>
      <c r="G471">
        <v>60744</v>
      </c>
    </row>
    <row r="472" spans="1:7" x14ac:dyDescent="0.4">
      <c r="B472" t="s">
        <v>166</v>
      </c>
      <c r="C472" t="s">
        <v>178</v>
      </c>
    </row>
    <row r="473" spans="1:7" x14ac:dyDescent="0.4">
      <c r="B473" t="s">
        <v>166</v>
      </c>
      <c r="C473" t="s">
        <v>17</v>
      </c>
    </row>
    <row r="474" spans="1:7" x14ac:dyDescent="0.4">
      <c r="B474" t="s">
        <v>166</v>
      </c>
      <c r="C474" t="s">
        <v>18</v>
      </c>
    </row>
    <row r="475" spans="1:7" x14ac:dyDescent="0.4">
      <c r="B475" t="s">
        <v>166</v>
      </c>
      <c r="C475" t="s">
        <v>128</v>
      </c>
    </row>
    <row r="476" spans="1:7" x14ac:dyDescent="0.4">
      <c r="B476" t="s">
        <v>166</v>
      </c>
      <c r="C476" t="s">
        <v>90</v>
      </c>
    </row>
    <row r="477" spans="1:7" x14ac:dyDescent="0.4">
      <c r="B477" t="s">
        <v>166</v>
      </c>
      <c r="C477" t="s">
        <v>179</v>
      </c>
    </row>
    <row r="478" spans="1:7" x14ac:dyDescent="0.4">
      <c r="B478" t="s">
        <v>166</v>
      </c>
      <c r="C478" t="s">
        <v>22</v>
      </c>
    </row>
    <row r="479" spans="1:7" x14ac:dyDescent="0.4">
      <c r="B479" t="s">
        <v>166</v>
      </c>
      <c r="C479" t="s">
        <v>23</v>
      </c>
    </row>
    <row r="480" spans="1:7" x14ac:dyDescent="0.4">
      <c r="B480" t="s">
        <v>166</v>
      </c>
      <c r="C480" t="s">
        <v>24</v>
      </c>
    </row>
    <row r="481" spans="1:7" x14ac:dyDescent="0.4">
      <c r="B481" t="s">
        <v>166</v>
      </c>
      <c r="C481" t="s">
        <v>25</v>
      </c>
    </row>
    <row r="482" spans="1:7" x14ac:dyDescent="0.4">
      <c r="B482" t="s">
        <v>166</v>
      </c>
      <c r="C482" t="s">
        <v>26</v>
      </c>
    </row>
    <row r="483" spans="1:7" x14ac:dyDescent="0.4">
      <c r="B483" t="s">
        <v>166</v>
      </c>
      <c r="C483" t="s">
        <v>180</v>
      </c>
    </row>
    <row r="484" spans="1:7" x14ac:dyDescent="0.4">
      <c r="A484">
        <v>7.5</v>
      </c>
      <c r="B484" t="s">
        <v>166</v>
      </c>
      <c r="C484" t="s">
        <v>147</v>
      </c>
      <c r="D484">
        <v>1</v>
      </c>
      <c r="E484" t="s">
        <v>15</v>
      </c>
      <c r="F484">
        <v>61245</v>
      </c>
      <c r="G484">
        <v>61245</v>
      </c>
    </row>
    <row r="485" spans="1:7" x14ac:dyDescent="0.4">
      <c r="B485" t="s">
        <v>166</v>
      </c>
      <c r="C485" t="s">
        <v>181</v>
      </c>
    </row>
    <row r="486" spans="1:7" x14ac:dyDescent="0.4">
      <c r="B486" t="s">
        <v>166</v>
      </c>
      <c r="C486" t="s">
        <v>17</v>
      </c>
    </row>
    <row r="487" spans="1:7" x14ac:dyDescent="0.4">
      <c r="B487" t="s">
        <v>166</v>
      </c>
      <c r="C487" t="s">
        <v>18</v>
      </c>
    </row>
    <row r="488" spans="1:7" x14ac:dyDescent="0.4">
      <c r="B488" t="s">
        <v>166</v>
      </c>
      <c r="C488" t="s">
        <v>128</v>
      </c>
    </row>
    <row r="489" spans="1:7" x14ac:dyDescent="0.4">
      <c r="B489" t="s">
        <v>166</v>
      </c>
      <c r="C489" t="s">
        <v>90</v>
      </c>
    </row>
    <row r="490" spans="1:7" x14ac:dyDescent="0.4">
      <c r="B490" t="s">
        <v>166</v>
      </c>
      <c r="C490" t="s">
        <v>179</v>
      </c>
    </row>
    <row r="491" spans="1:7" x14ac:dyDescent="0.4">
      <c r="B491" t="s">
        <v>166</v>
      </c>
      <c r="C491" t="s">
        <v>22</v>
      </c>
    </row>
    <row r="492" spans="1:7" x14ac:dyDescent="0.4">
      <c r="B492" t="s">
        <v>166</v>
      </c>
      <c r="C492" t="s">
        <v>23</v>
      </c>
    </row>
    <row r="493" spans="1:7" x14ac:dyDescent="0.4">
      <c r="B493" t="s">
        <v>166</v>
      </c>
      <c r="C493" t="s">
        <v>24</v>
      </c>
    </row>
    <row r="494" spans="1:7" x14ac:dyDescent="0.4">
      <c r="B494" t="s">
        <v>166</v>
      </c>
      <c r="C494" t="s">
        <v>25</v>
      </c>
    </row>
    <row r="495" spans="1:7" x14ac:dyDescent="0.4">
      <c r="B495" t="s">
        <v>166</v>
      </c>
      <c r="C495" t="s">
        <v>26</v>
      </c>
    </row>
    <row r="496" spans="1:7" x14ac:dyDescent="0.4">
      <c r="B496" t="s">
        <v>166</v>
      </c>
      <c r="C496" t="s">
        <v>180</v>
      </c>
    </row>
    <row r="497" spans="1:7" x14ac:dyDescent="0.4">
      <c r="A497">
        <v>7.6</v>
      </c>
      <c r="B497" t="s">
        <v>166</v>
      </c>
      <c r="C497" t="s">
        <v>182</v>
      </c>
      <c r="D497">
        <v>1</v>
      </c>
      <c r="E497" t="s">
        <v>15</v>
      </c>
      <c r="F497">
        <v>188805</v>
      </c>
      <c r="G497">
        <v>188805</v>
      </c>
    </row>
    <row r="498" spans="1:7" x14ac:dyDescent="0.4">
      <c r="B498" t="s">
        <v>166</v>
      </c>
      <c r="C498" t="s">
        <v>183</v>
      </c>
    </row>
    <row r="499" spans="1:7" x14ac:dyDescent="0.4">
      <c r="B499" t="s">
        <v>166</v>
      </c>
      <c r="C499" t="s">
        <v>17</v>
      </c>
    </row>
    <row r="500" spans="1:7" x14ac:dyDescent="0.4">
      <c r="B500" t="s">
        <v>166</v>
      </c>
      <c r="C500" t="s">
        <v>18</v>
      </c>
    </row>
    <row r="501" spans="1:7" x14ac:dyDescent="0.4">
      <c r="B501" t="s">
        <v>166</v>
      </c>
      <c r="C501" t="s">
        <v>49</v>
      </c>
    </row>
    <row r="502" spans="1:7" x14ac:dyDescent="0.4">
      <c r="B502" t="s">
        <v>166</v>
      </c>
      <c r="C502" t="s">
        <v>184</v>
      </c>
    </row>
    <row r="503" spans="1:7" x14ac:dyDescent="0.4">
      <c r="B503" t="s">
        <v>166</v>
      </c>
      <c r="C503" t="s">
        <v>185</v>
      </c>
    </row>
    <row r="504" spans="1:7" x14ac:dyDescent="0.4">
      <c r="B504" t="s">
        <v>166</v>
      </c>
      <c r="C504" t="s">
        <v>52</v>
      </c>
    </row>
    <row r="505" spans="1:7" x14ac:dyDescent="0.4">
      <c r="B505" t="s">
        <v>166</v>
      </c>
      <c r="C505" t="s">
        <v>53</v>
      </c>
    </row>
    <row r="506" spans="1:7" x14ac:dyDescent="0.4">
      <c r="B506" t="s">
        <v>166</v>
      </c>
      <c r="C506" t="s">
        <v>130</v>
      </c>
    </row>
    <row r="507" spans="1:7" x14ac:dyDescent="0.4">
      <c r="B507" t="s">
        <v>166</v>
      </c>
      <c r="C507" t="s">
        <v>55</v>
      </c>
    </row>
    <row r="508" spans="1:7" x14ac:dyDescent="0.4">
      <c r="B508" t="s">
        <v>166</v>
      </c>
      <c r="C508" t="s">
        <v>173</v>
      </c>
    </row>
    <row r="509" spans="1:7" x14ac:dyDescent="0.4">
      <c r="B509" t="s">
        <v>166</v>
      </c>
      <c r="C509" t="s">
        <v>186</v>
      </c>
    </row>
    <row r="510" spans="1:7" x14ac:dyDescent="0.4">
      <c r="B510" t="s">
        <v>166</v>
      </c>
      <c r="C510" t="s">
        <v>33</v>
      </c>
    </row>
    <row r="511" spans="1:7" x14ac:dyDescent="0.4">
      <c r="B511" t="s">
        <v>166</v>
      </c>
      <c r="C511" t="s">
        <v>22</v>
      </c>
    </row>
    <row r="512" spans="1:7" x14ac:dyDescent="0.4">
      <c r="B512" t="s">
        <v>166</v>
      </c>
      <c r="C512" t="s">
        <v>34</v>
      </c>
    </row>
    <row r="513" spans="1:7" x14ac:dyDescent="0.4">
      <c r="B513" t="s">
        <v>166</v>
      </c>
      <c r="C513" t="s">
        <v>35</v>
      </c>
    </row>
    <row r="514" spans="1:7" x14ac:dyDescent="0.4">
      <c r="B514" t="s">
        <v>166</v>
      </c>
      <c r="C514" t="s">
        <v>26</v>
      </c>
    </row>
    <row r="515" spans="1:7" x14ac:dyDescent="0.4">
      <c r="B515" t="s">
        <v>166</v>
      </c>
      <c r="C515" t="s">
        <v>66</v>
      </c>
    </row>
    <row r="516" spans="1:7" x14ac:dyDescent="0.4">
      <c r="A516">
        <v>7.7</v>
      </c>
      <c r="B516" t="s">
        <v>166</v>
      </c>
      <c r="C516" t="s">
        <v>187</v>
      </c>
      <c r="D516">
        <v>1</v>
      </c>
      <c r="E516" t="s">
        <v>15</v>
      </c>
      <c r="F516">
        <v>32038</v>
      </c>
      <c r="G516">
        <v>32038</v>
      </c>
    </row>
    <row r="517" spans="1:7" x14ac:dyDescent="0.4">
      <c r="B517" t="s">
        <v>166</v>
      </c>
      <c r="C517" t="s">
        <v>188</v>
      </c>
    </row>
    <row r="518" spans="1:7" x14ac:dyDescent="0.4">
      <c r="B518" t="s">
        <v>166</v>
      </c>
      <c r="C518" t="s">
        <v>17</v>
      </c>
    </row>
    <row r="519" spans="1:7" x14ac:dyDescent="0.4">
      <c r="B519" t="s">
        <v>166</v>
      </c>
      <c r="C519" t="s">
        <v>18</v>
      </c>
    </row>
    <row r="520" spans="1:7" x14ac:dyDescent="0.4">
      <c r="B520" t="s">
        <v>166</v>
      </c>
      <c r="C520" t="s">
        <v>49</v>
      </c>
    </row>
    <row r="521" spans="1:7" x14ac:dyDescent="0.4">
      <c r="B521" t="s">
        <v>166</v>
      </c>
      <c r="C521" t="s">
        <v>52</v>
      </c>
    </row>
    <row r="522" spans="1:7" x14ac:dyDescent="0.4">
      <c r="B522" t="s">
        <v>166</v>
      </c>
      <c r="C522" t="s">
        <v>53</v>
      </c>
    </row>
    <row r="523" spans="1:7" x14ac:dyDescent="0.4">
      <c r="B523" t="s">
        <v>166</v>
      </c>
      <c r="C523" t="s">
        <v>130</v>
      </c>
    </row>
    <row r="524" spans="1:7" x14ac:dyDescent="0.4">
      <c r="B524" t="s">
        <v>166</v>
      </c>
      <c r="C524" t="s">
        <v>131</v>
      </c>
    </row>
    <row r="525" spans="1:7" x14ac:dyDescent="0.4">
      <c r="B525" t="s">
        <v>166</v>
      </c>
      <c r="C525" t="s">
        <v>55</v>
      </c>
    </row>
    <row r="526" spans="1:7" x14ac:dyDescent="0.4">
      <c r="B526" t="s">
        <v>166</v>
      </c>
      <c r="C526" t="s">
        <v>173</v>
      </c>
    </row>
    <row r="527" spans="1:7" x14ac:dyDescent="0.4">
      <c r="B527" t="s">
        <v>166</v>
      </c>
      <c r="C527" t="s">
        <v>25</v>
      </c>
    </row>
    <row r="528" spans="1:7" x14ac:dyDescent="0.4">
      <c r="A528">
        <v>7.8</v>
      </c>
      <c r="B528" t="s">
        <v>166</v>
      </c>
      <c r="C528" t="s">
        <v>59</v>
      </c>
      <c r="D528">
        <v>2</v>
      </c>
      <c r="E528" t="s">
        <v>15</v>
      </c>
      <c r="F528">
        <v>15095</v>
      </c>
      <c r="G528">
        <v>30190</v>
      </c>
    </row>
    <row r="529" spans="1:7" x14ac:dyDescent="0.4">
      <c r="A529">
        <v>8</v>
      </c>
      <c r="B529" t="s">
        <v>166</v>
      </c>
      <c r="C529" t="s">
        <v>189</v>
      </c>
    </row>
    <row r="530" spans="1:7" x14ac:dyDescent="0.4">
      <c r="A530">
        <v>8.1</v>
      </c>
      <c r="B530" t="s">
        <v>166</v>
      </c>
      <c r="C530" t="s">
        <v>177</v>
      </c>
      <c r="D530">
        <v>1</v>
      </c>
      <c r="E530" t="s">
        <v>15</v>
      </c>
      <c r="F530">
        <v>24570</v>
      </c>
      <c r="G530">
        <v>24570</v>
      </c>
    </row>
    <row r="531" spans="1:7" x14ac:dyDescent="0.4">
      <c r="B531" t="s">
        <v>166</v>
      </c>
      <c r="C531" t="s">
        <v>44</v>
      </c>
    </row>
    <row r="532" spans="1:7" x14ac:dyDescent="0.4">
      <c r="B532" t="s">
        <v>166</v>
      </c>
      <c r="C532" t="s">
        <v>45</v>
      </c>
    </row>
    <row r="533" spans="1:7" x14ac:dyDescent="0.4">
      <c r="B533" t="s">
        <v>166</v>
      </c>
      <c r="C533" t="s">
        <v>18</v>
      </c>
    </row>
    <row r="534" spans="1:7" x14ac:dyDescent="0.4">
      <c r="B534" t="s">
        <v>166</v>
      </c>
      <c r="C534" t="s">
        <v>46</v>
      </c>
    </row>
    <row r="535" spans="1:7" x14ac:dyDescent="0.4">
      <c r="A535">
        <v>8.1999999999999993</v>
      </c>
      <c r="B535" t="s">
        <v>166</v>
      </c>
      <c r="C535" t="s">
        <v>98</v>
      </c>
      <c r="D535">
        <v>1</v>
      </c>
      <c r="E535" t="s">
        <v>15</v>
      </c>
      <c r="F535">
        <v>55650</v>
      </c>
      <c r="G535">
        <v>55650</v>
      </c>
    </row>
    <row r="536" spans="1:7" x14ac:dyDescent="0.4">
      <c r="B536" t="s">
        <v>166</v>
      </c>
      <c r="C536" t="s">
        <v>99</v>
      </c>
    </row>
    <row r="537" spans="1:7" x14ac:dyDescent="0.4">
      <c r="A537">
        <v>8.3000000000000007</v>
      </c>
      <c r="B537" t="s">
        <v>166</v>
      </c>
      <c r="C537" t="s">
        <v>133</v>
      </c>
      <c r="D537">
        <v>4</v>
      </c>
      <c r="E537" t="s">
        <v>15</v>
      </c>
      <c r="F537">
        <v>202577</v>
      </c>
      <c r="G537">
        <v>810308</v>
      </c>
    </row>
    <row r="538" spans="1:7" x14ac:dyDescent="0.4">
      <c r="B538" t="s">
        <v>166</v>
      </c>
      <c r="C538" t="s">
        <v>124</v>
      </c>
    </row>
    <row r="539" spans="1:7" x14ac:dyDescent="0.4">
      <c r="B539" t="s">
        <v>166</v>
      </c>
      <c r="C539" t="s">
        <v>73</v>
      </c>
    </row>
    <row r="540" spans="1:7" x14ac:dyDescent="0.4">
      <c r="B540" t="s">
        <v>166</v>
      </c>
      <c r="C540" t="s">
        <v>74</v>
      </c>
    </row>
    <row r="541" spans="1:7" x14ac:dyDescent="0.4">
      <c r="B541" t="s">
        <v>166</v>
      </c>
      <c r="C541" t="s">
        <v>75</v>
      </c>
    </row>
    <row r="542" spans="1:7" x14ac:dyDescent="0.4">
      <c r="B542" t="s">
        <v>166</v>
      </c>
      <c r="C542" t="s">
        <v>76</v>
      </c>
    </row>
    <row r="543" spans="1:7" x14ac:dyDescent="0.4">
      <c r="B543" t="s">
        <v>166</v>
      </c>
      <c r="C543" t="s">
        <v>77</v>
      </c>
    </row>
    <row r="544" spans="1:7" x14ac:dyDescent="0.4">
      <c r="B544" t="s">
        <v>166</v>
      </c>
      <c r="C544" t="s">
        <v>78</v>
      </c>
    </row>
    <row r="545" spans="1:7" x14ac:dyDescent="0.4">
      <c r="B545" t="s">
        <v>166</v>
      </c>
      <c r="C545" t="s">
        <v>79</v>
      </c>
    </row>
    <row r="546" spans="1:7" x14ac:dyDescent="0.4">
      <c r="B546" t="s">
        <v>166</v>
      </c>
      <c r="C546" t="s">
        <v>80</v>
      </c>
    </row>
    <row r="547" spans="1:7" x14ac:dyDescent="0.4">
      <c r="B547" t="s">
        <v>166</v>
      </c>
      <c r="C547" t="s">
        <v>81</v>
      </c>
    </row>
    <row r="548" spans="1:7" x14ac:dyDescent="0.4">
      <c r="B548" t="s">
        <v>166</v>
      </c>
      <c r="C548" t="s">
        <v>82</v>
      </c>
    </row>
    <row r="549" spans="1:7" x14ac:dyDescent="0.4">
      <c r="B549" t="s">
        <v>166</v>
      </c>
      <c r="C549" t="s">
        <v>83</v>
      </c>
    </row>
    <row r="550" spans="1:7" x14ac:dyDescent="0.4">
      <c r="B550" t="s">
        <v>166</v>
      </c>
      <c r="C550" t="s">
        <v>84</v>
      </c>
    </row>
    <row r="551" spans="1:7" x14ac:dyDescent="0.4">
      <c r="B551" t="s">
        <v>166</v>
      </c>
      <c r="C551" t="s">
        <v>86</v>
      </c>
    </row>
    <row r="552" spans="1:7" x14ac:dyDescent="0.4">
      <c r="B552" t="s">
        <v>166</v>
      </c>
      <c r="C552" t="s">
        <v>125</v>
      </c>
    </row>
    <row r="553" spans="1:7" x14ac:dyDescent="0.4">
      <c r="B553" t="s">
        <v>166</v>
      </c>
      <c r="C553" t="s">
        <v>25</v>
      </c>
    </row>
    <row r="554" spans="1:7" x14ac:dyDescent="0.4">
      <c r="B554" t="s">
        <v>166</v>
      </c>
      <c r="C554" t="s">
        <v>26</v>
      </c>
    </row>
    <row r="555" spans="1:7" x14ac:dyDescent="0.4">
      <c r="A555">
        <v>8.4</v>
      </c>
      <c r="B555" t="s">
        <v>166</v>
      </c>
      <c r="C555" t="s">
        <v>147</v>
      </c>
      <c r="D555">
        <v>1</v>
      </c>
      <c r="E555" t="s">
        <v>15</v>
      </c>
      <c r="F555">
        <v>60744</v>
      </c>
      <c r="G555">
        <v>60744</v>
      </c>
    </row>
    <row r="556" spans="1:7" x14ac:dyDescent="0.4">
      <c r="B556" t="s">
        <v>166</v>
      </c>
      <c r="C556" t="s">
        <v>178</v>
      </c>
    </row>
    <row r="557" spans="1:7" x14ac:dyDescent="0.4">
      <c r="B557" t="s">
        <v>166</v>
      </c>
      <c r="C557" t="s">
        <v>17</v>
      </c>
    </row>
    <row r="558" spans="1:7" x14ac:dyDescent="0.4">
      <c r="B558" t="s">
        <v>166</v>
      </c>
      <c r="C558" t="s">
        <v>18</v>
      </c>
    </row>
    <row r="559" spans="1:7" x14ac:dyDescent="0.4">
      <c r="B559" t="s">
        <v>166</v>
      </c>
      <c r="C559" t="s">
        <v>128</v>
      </c>
    </row>
    <row r="560" spans="1:7" x14ac:dyDescent="0.4">
      <c r="B560" t="s">
        <v>166</v>
      </c>
      <c r="C560" t="s">
        <v>90</v>
      </c>
    </row>
    <row r="561" spans="1:7" x14ac:dyDescent="0.4">
      <c r="B561" t="s">
        <v>166</v>
      </c>
      <c r="C561" t="s">
        <v>179</v>
      </c>
    </row>
    <row r="562" spans="1:7" x14ac:dyDescent="0.4">
      <c r="B562" t="s">
        <v>166</v>
      </c>
      <c r="C562" t="s">
        <v>22</v>
      </c>
    </row>
    <row r="563" spans="1:7" x14ac:dyDescent="0.4">
      <c r="B563" t="s">
        <v>166</v>
      </c>
      <c r="C563" t="s">
        <v>23</v>
      </c>
    </row>
    <row r="564" spans="1:7" x14ac:dyDescent="0.4">
      <c r="B564" t="s">
        <v>166</v>
      </c>
      <c r="C564" t="s">
        <v>24</v>
      </c>
    </row>
    <row r="565" spans="1:7" x14ac:dyDescent="0.4">
      <c r="B565" t="s">
        <v>166</v>
      </c>
      <c r="C565" t="s">
        <v>25</v>
      </c>
    </row>
    <row r="566" spans="1:7" x14ac:dyDescent="0.4">
      <c r="B566" t="s">
        <v>166</v>
      </c>
      <c r="C566" t="s">
        <v>26</v>
      </c>
    </row>
    <row r="567" spans="1:7" x14ac:dyDescent="0.4">
      <c r="B567" t="s">
        <v>166</v>
      </c>
      <c r="C567" t="s">
        <v>180</v>
      </c>
    </row>
    <row r="568" spans="1:7" x14ac:dyDescent="0.4">
      <c r="A568">
        <v>8.5</v>
      </c>
      <c r="B568" t="s">
        <v>166</v>
      </c>
      <c r="C568" t="s">
        <v>147</v>
      </c>
      <c r="D568">
        <v>1</v>
      </c>
      <c r="E568" t="s">
        <v>15</v>
      </c>
      <c r="F568">
        <v>61245</v>
      </c>
      <c r="G568">
        <v>61245</v>
      </c>
    </row>
    <row r="569" spans="1:7" x14ac:dyDescent="0.4">
      <c r="B569" t="s">
        <v>166</v>
      </c>
      <c r="C569" t="s">
        <v>181</v>
      </c>
    </row>
    <row r="570" spans="1:7" x14ac:dyDescent="0.4">
      <c r="B570" t="s">
        <v>166</v>
      </c>
      <c r="C570" t="s">
        <v>17</v>
      </c>
    </row>
    <row r="571" spans="1:7" x14ac:dyDescent="0.4">
      <c r="B571" t="s">
        <v>166</v>
      </c>
      <c r="C571" t="s">
        <v>18</v>
      </c>
    </row>
    <row r="572" spans="1:7" x14ac:dyDescent="0.4">
      <c r="B572" t="s">
        <v>166</v>
      </c>
      <c r="C572" t="s">
        <v>128</v>
      </c>
    </row>
    <row r="573" spans="1:7" x14ac:dyDescent="0.4">
      <c r="B573" t="s">
        <v>166</v>
      </c>
      <c r="C573" t="s">
        <v>90</v>
      </c>
    </row>
    <row r="574" spans="1:7" x14ac:dyDescent="0.4">
      <c r="B574" t="s">
        <v>166</v>
      </c>
      <c r="C574" t="s">
        <v>179</v>
      </c>
    </row>
    <row r="575" spans="1:7" x14ac:dyDescent="0.4">
      <c r="B575" t="s">
        <v>166</v>
      </c>
      <c r="C575" t="s">
        <v>22</v>
      </c>
    </row>
    <row r="576" spans="1:7" x14ac:dyDescent="0.4">
      <c r="B576" t="s">
        <v>166</v>
      </c>
      <c r="C576" t="s">
        <v>23</v>
      </c>
    </row>
    <row r="577" spans="1:7" x14ac:dyDescent="0.4">
      <c r="B577" t="s">
        <v>166</v>
      </c>
      <c r="C577" t="s">
        <v>24</v>
      </c>
    </row>
    <row r="578" spans="1:7" x14ac:dyDescent="0.4">
      <c r="B578" t="s">
        <v>166</v>
      </c>
      <c r="C578" t="s">
        <v>25</v>
      </c>
    </row>
    <row r="579" spans="1:7" x14ac:dyDescent="0.4">
      <c r="B579" t="s">
        <v>166</v>
      </c>
      <c r="C579" t="s">
        <v>26</v>
      </c>
    </row>
    <row r="580" spans="1:7" x14ac:dyDescent="0.4">
      <c r="B580" t="s">
        <v>166</v>
      </c>
      <c r="C580" t="s">
        <v>180</v>
      </c>
    </row>
    <row r="581" spans="1:7" x14ac:dyDescent="0.4">
      <c r="A581">
        <v>8.6</v>
      </c>
      <c r="B581" t="s">
        <v>166</v>
      </c>
      <c r="C581" t="s">
        <v>182</v>
      </c>
      <c r="D581">
        <v>1</v>
      </c>
      <c r="E581" t="s">
        <v>15</v>
      </c>
      <c r="F581">
        <v>188805</v>
      </c>
      <c r="G581">
        <v>188805</v>
      </c>
    </row>
    <row r="582" spans="1:7" x14ac:dyDescent="0.4">
      <c r="B582" t="s">
        <v>166</v>
      </c>
      <c r="C582" t="s">
        <v>183</v>
      </c>
    </row>
    <row r="583" spans="1:7" x14ac:dyDescent="0.4">
      <c r="B583" t="s">
        <v>166</v>
      </c>
      <c r="C583" t="s">
        <v>17</v>
      </c>
    </row>
    <row r="584" spans="1:7" x14ac:dyDescent="0.4">
      <c r="B584" t="s">
        <v>166</v>
      </c>
      <c r="C584" t="s">
        <v>18</v>
      </c>
    </row>
    <row r="585" spans="1:7" x14ac:dyDescent="0.4">
      <c r="B585" t="s">
        <v>166</v>
      </c>
      <c r="C585" t="s">
        <v>49</v>
      </c>
    </row>
    <row r="586" spans="1:7" x14ac:dyDescent="0.4">
      <c r="B586" t="s">
        <v>166</v>
      </c>
      <c r="C586" t="s">
        <v>184</v>
      </c>
    </row>
    <row r="587" spans="1:7" x14ac:dyDescent="0.4">
      <c r="B587" t="s">
        <v>166</v>
      </c>
      <c r="C587" t="s">
        <v>185</v>
      </c>
    </row>
    <row r="588" spans="1:7" x14ac:dyDescent="0.4">
      <c r="B588" t="s">
        <v>166</v>
      </c>
      <c r="C588" t="s">
        <v>52</v>
      </c>
    </row>
    <row r="589" spans="1:7" x14ac:dyDescent="0.4">
      <c r="B589" t="s">
        <v>166</v>
      </c>
      <c r="C589" t="s">
        <v>53</v>
      </c>
    </row>
    <row r="590" spans="1:7" x14ac:dyDescent="0.4">
      <c r="B590" t="s">
        <v>166</v>
      </c>
      <c r="C590" t="s">
        <v>130</v>
      </c>
    </row>
    <row r="591" spans="1:7" x14ac:dyDescent="0.4">
      <c r="B591" t="s">
        <v>166</v>
      </c>
      <c r="C591" t="s">
        <v>55</v>
      </c>
    </row>
    <row r="592" spans="1:7" x14ac:dyDescent="0.4">
      <c r="B592" t="s">
        <v>166</v>
      </c>
      <c r="C592" t="s">
        <v>173</v>
      </c>
    </row>
    <row r="593" spans="1:7" x14ac:dyDescent="0.4">
      <c r="B593" t="s">
        <v>166</v>
      </c>
      <c r="C593" t="s">
        <v>186</v>
      </c>
    </row>
    <row r="594" spans="1:7" x14ac:dyDescent="0.4">
      <c r="B594" t="s">
        <v>166</v>
      </c>
      <c r="C594" t="s">
        <v>33</v>
      </c>
    </row>
    <row r="595" spans="1:7" x14ac:dyDescent="0.4">
      <c r="B595" t="s">
        <v>166</v>
      </c>
      <c r="C595" t="s">
        <v>22</v>
      </c>
    </row>
    <row r="596" spans="1:7" x14ac:dyDescent="0.4">
      <c r="B596" t="s">
        <v>166</v>
      </c>
      <c r="C596" t="s">
        <v>34</v>
      </c>
    </row>
    <row r="597" spans="1:7" x14ac:dyDescent="0.4">
      <c r="B597" t="s">
        <v>166</v>
      </c>
      <c r="C597" t="s">
        <v>35</v>
      </c>
    </row>
    <row r="598" spans="1:7" x14ac:dyDescent="0.4">
      <c r="B598" t="s">
        <v>166</v>
      </c>
      <c r="C598" t="s">
        <v>26</v>
      </c>
    </row>
    <row r="599" spans="1:7" x14ac:dyDescent="0.4">
      <c r="B599" t="s">
        <v>166</v>
      </c>
      <c r="C599" t="s">
        <v>66</v>
      </c>
    </row>
    <row r="600" spans="1:7" x14ac:dyDescent="0.4">
      <c r="A600">
        <v>8.6999999999999993</v>
      </c>
      <c r="B600" t="s">
        <v>166</v>
      </c>
      <c r="C600" t="s">
        <v>187</v>
      </c>
      <c r="D600">
        <v>1</v>
      </c>
      <c r="E600" t="s">
        <v>15</v>
      </c>
      <c r="F600">
        <v>32038</v>
      </c>
      <c r="G600">
        <v>32038</v>
      </c>
    </row>
    <row r="601" spans="1:7" x14ac:dyDescent="0.4">
      <c r="B601" t="s">
        <v>166</v>
      </c>
      <c r="C601" t="s">
        <v>188</v>
      </c>
    </row>
    <row r="602" spans="1:7" x14ac:dyDescent="0.4">
      <c r="B602" t="s">
        <v>166</v>
      </c>
      <c r="C602" t="s">
        <v>17</v>
      </c>
    </row>
    <row r="603" spans="1:7" x14ac:dyDescent="0.4">
      <c r="B603" t="s">
        <v>166</v>
      </c>
      <c r="C603" t="s">
        <v>18</v>
      </c>
    </row>
    <row r="604" spans="1:7" x14ac:dyDescent="0.4">
      <c r="B604" t="s">
        <v>166</v>
      </c>
      <c r="C604" t="s">
        <v>49</v>
      </c>
    </row>
    <row r="605" spans="1:7" x14ac:dyDescent="0.4">
      <c r="B605" t="s">
        <v>166</v>
      </c>
      <c r="C605" t="s">
        <v>52</v>
      </c>
    </row>
    <row r="606" spans="1:7" x14ac:dyDescent="0.4">
      <c r="B606" t="s">
        <v>166</v>
      </c>
      <c r="C606" t="s">
        <v>53</v>
      </c>
    </row>
    <row r="607" spans="1:7" x14ac:dyDescent="0.4">
      <c r="B607" t="s">
        <v>166</v>
      </c>
      <c r="C607" t="s">
        <v>130</v>
      </c>
    </row>
    <row r="608" spans="1:7" x14ac:dyDescent="0.4">
      <c r="B608" t="s">
        <v>166</v>
      </c>
      <c r="C608" t="s">
        <v>131</v>
      </c>
    </row>
    <row r="609" spans="1:7" x14ac:dyDescent="0.4">
      <c r="B609" t="s">
        <v>166</v>
      </c>
      <c r="C609" t="s">
        <v>55</v>
      </c>
    </row>
    <row r="610" spans="1:7" x14ac:dyDescent="0.4">
      <c r="B610" t="s">
        <v>166</v>
      </c>
      <c r="C610" t="s">
        <v>173</v>
      </c>
    </row>
    <row r="611" spans="1:7" x14ac:dyDescent="0.4">
      <c r="B611" t="s">
        <v>166</v>
      </c>
      <c r="C611" t="s">
        <v>25</v>
      </c>
    </row>
    <row r="612" spans="1:7" x14ac:dyDescent="0.4">
      <c r="A612">
        <v>8.8000000000000007</v>
      </c>
      <c r="B612" t="s">
        <v>166</v>
      </c>
      <c r="C612" t="s">
        <v>59</v>
      </c>
      <c r="D612">
        <v>2</v>
      </c>
      <c r="E612" t="s">
        <v>15</v>
      </c>
      <c r="F612">
        <v>15095</v>
      </c>
      <c r="G612">
        <v>30190</v>
      </c>
    </row>
    <row r="613" spans="1:7" x14ac:dyDescent="0.4">
      <c r="A613">
        <v>9</v>
      </c>
      <c r="B613" t="s">
        <v>166</v>
      </c>
      <c r="C613" t="s">
        <v>190</v>
      </c>
    </row>
    <row r="614" spans="1:7" x14ac:dyDescent="0.4">
      <c r="A614">
        <v>9.1</v>
      </c>
      <c r="B614" t="s">
        <v>166</v>
      </c>
      <c r="C614" t="s">
        <v>177</v>
      </c>
      <c r="D614">
        <v>1</v>
      </c>
      <c r="E614" t="s">
        <v>15</v>
      </c>
      <c r="F614">
        <v>24570</v>
      </c>
      <c r="G614">
        <v>24570</v>
      </c>
    </row>
    <row r="615" spans="1:7" x14ac:dyDescent="0.4">
      <c r="B615" t="s">
        <v>166</v>
      </c>
      <c r="C615" t="s">
        <v>44</v>
      </c>
    </row>
    <row r="616" spans="1:7" x14ac:dyDescent="0.4">
      <c r="B616" t="s">
        <v>166</v>
      </c>
      <c r="C616" t="s">
        <v>45</v>
      </c>
    </row>
    <row r="617" spans="1:7" x14ac:dyDescent="0.4">
      <c r="B617" t="s">
        <v>166</v>
      </c>
      <c r="C617" t="s">
        <v>18</v>
      </c>
    </row>
    <row r="618" spans="1:7" x14ac:dyDescent="0.4">
      <c r="B618" t="s">
        <v>166</v>
      </c>
      <c r="C618" t="s">
        <v>46</v>
      </c>
    </row>
    <row r="619" spans="1:7" x14ac:dyDescent="0.4">
      <c r="A619">
        <v>9.1999999999999993</v>
      </c>
      <c r="B619" t="s">
        <v>166</v>
      </c>
      <c r="C619" t="s">
        <v>98</v>
      </c>
      <c r="D619">
        <v>1</v>
      </c>
      <c r="E619" t="s">
        <v>15</v>
      </c>
      <c r="F619">
        <v>55650</v>
      </c>
      <c r="G619">
        <v>55650</v>
      </c>
    </row>
    <row r="620" spans="1:7" x14ac:dyDescent="0.4">
      <c r="B620" t="s">
        <v>166</v>
      </c>
      <c r="C620" t="s">
        <v>99</v>
      </c>
    </row>
    <row r="621" spans="1:7" x14ac:dyDescent="0.4">
      <c r="A621">
        <v>9.3000000000000007</v>
      </c>
      <c r="B621" t="s">
        <v>166</v>
      </c>
      <c r="C621" t="s">
        <v>133</v>
      </c>
      <c r="D621">
        <v>4</v>
      </c>
      <c r="E621" t="s">
        <v>15</v>
      </c>
      <c r="F621">
        <v>202577</v>
      </c>
      <c r="G621">
        <v>810308</v>
      </c>
    </row>
    <row r="622" spans="1:7" x14ac:dyDescent="0.4">
      <c r="B622" t="s">
        <v>166</v>
      </c>
      <c r="C622" t="s">
        <v>124</v>
      </c>
    </row>
    <row r="623" spans="1:7" x14ac:dyDescent="0.4">
      <c r="B623" t="s">
        <v>166</v>
      </c>
      <c r="C623" t="s">
        <v>73</v>
      </c>
    </row>
    <row r="624" spans="1:7" x14ac:dyDescent="0.4">
      <c r="B624" t="s">
        <v>166</v>
      </c>
      <c r="C624" t="s">
        <v>74</v>
      </c>
    </row>
    <row r="625" spans="1:7" x14ac:dyDescent="0.4">
      <c r="B625" t="s">
        <v>166</v>
      </c>
      <c r="C625" t="s">
        <v>75</v>
      </c>
    </row>
    <row r="626" spans="1:7" x14ac:dyDescent="0.4">
      <c r="B626" t="s">
        <v>166</v>
      </c>
      <c r="C626" t="s">
        <v>76</v>
      </c>
    </row>
    <row r="627" spans="1:7" x14ac:dyDescent="0.4">
      <c r="B627" t="s">
        <v>166</v>
      </c>
      <c r="C627" t="s">
        <v>77</v>
      </c>
    </row>
    <row r="628" spans="1:7" x14ac:dyDescent="0.4">
      <c r="B628" t="s">
        <v>166</v>
      </c>
      <c r="C628" t="s">
        <v>78</v>
      </c>
    </row>
    <row r="629" spans="1:7" x14ac:dyDescent="0.4">
      <c r="B629" t="s">
        <v>166</v>
      </c>
      <c r="C629" t="s">
        <v>79</v>
      </c>
    </row>
    <row r="630" spans="1:7" x14ac:dyDescent="0.4">
      <c r="B630" t="s">
        <v>166</v>
      </c>
      <c r="C630" t="s">
        <v>80</v>
      </c>
    </row>
    <row r="631" spans="1:7" x14ac:dyDescent="0.4">
      <c r="B631" t="s">
        <v>166</v>
      </c>
      <c r="C631" t="s">
        <v>81</v>
      </c>
    </row>
    <row r="632" spans="1:7" x14ac:dyDescent="0.4">
      <c r="B632" t="s">
        <v>166</v>
      </c>
      <c r="C632" t="s">
        <v>82</v>
      </c>
    </row>
    <row r="633" spans="1:7" x14ac:dyDescent="0.4">
      <c r="B633" t="s">
        <v>166</v>
      </c>
      <c r="C633" t="s">
        <v>83</v>
      </c>
    </row>
    <row r="634" spans="1:7" x14ac:dyDescent="0.4">
      <c r="B634" t="s">
        <v>166</v>
      </c>
      <c r="C634" t="s">
        <v>84</v>
      </c>
    </row>
    <row r="635" spans="1:7" x14ac:dyDescent="0.4">
      <c r="B635" t="s">
        <v>166</v>
      </c>
      <c r="C635" t="s">
        <v>86</v>
      </c>
    </row>
    <row r="636" spans="1:7" x14ac:dyDescent="0.4">
      <c r="B636" t="s">
        <v>166</v>
      </c>
      <c r="C636" t="s">
        <v>125</v>
      </c>
    </row>
    <row r="637" spans="1:7" x14ac:dyDescent="0.4">
      <c r="B637" t="s">
        <v>166</v>
      </c>
      <c r="C637" t="s">
        <v>25</v>
      </c>
    </row>
    <row r="638" spans="1:7" x14ac:dyDescent="0.4">
      <c r="B638" t="s">
        <v>166</v>
      </c>
      <c r="C638" t="s">
        <v>26</v>
      </c>
    </row>
    <row r="639" spans="1:7" x14ac:dyDescent="0.4">
      <c r="A639">
        <v>9.4</v>
      </c>
      <c r="B639" t="s">
        <v>166</v>
      </c>
      <c r="C639" t="s">
        <v>147</v>
      </c>
      <c r="D639">
        <v>1</v>
      </c>
      <c r="E639" t="s">
        <v>15</v>
      </c>
      <c r="F639">
        <v>60744</v>
      </c>
      <c r="G639">
        <v>60744</v>
      </c>
    </row>
    <row r="640" spans="1:7" x14ac:dyDescent="0.4">
      <c r="B640" t="s">
        <v>166</v>
      </c>
      <c r="C640" t="s">
        <v>178</v>
      </c>
    </row>
    <row r="641" spans="1:7" x14ac:dyDescent="0.4">
      <c r="B641" t="s">
        <v>166</v>
      </c>
      <c r="C641" t="s">
        <v>17</v>
      </c>
    </row>
    <row r="642" spans="1:7" x14ac:dyDescent="0.4">
      <c r="B642" t="s">
        <v>166</v>
      </c>
      <c r="C642" t="s">
        <v>18</v>
      </c>
    </row>
    <row r="643" spans="1:7" x14ac:dyDescent="0.4">
      <c r="B643" t="s">
        <v>166</v>
      </c>
      <c r="C643" t="s">
        <v>128</v>
      </c>
    </row>
    <row r="644" spans="1:7" x14ac:dyDescent="0.4">
      <c r="B644" t="s">
        <v>166</v>
      </c>
      <c r="C644" t="s">
        <v>90</v>
      </c>
    </row>
    <row r="645" spans="1:7" x14ac:dyDescent="0.4">
      <c r="B645" t="s">
        <v>166</v>
      </c>
      <c r="C645" t="s">
        <v>179</v>
      </c>
    </row>
    <row r="646" spans="1:7" x14ac:dyDescent="0.4">
      <c r="B646" t="s">
        <v>166</v>
      </c>
      <c r="C646" t="s">
        <v>22</v>
      </c>
    </row>
    <row r="647" spans="1:7" x14ac:dyDescent="0.4">
      <c r="B647" t="s">
        <v>166</v>
      </c>
      <c r="C647" t="s">
        <v>23</v>
      </c>
    </row>
    <row r="648" spans="1:7" x14ac:dyDescent="0.4">
      <c r="B648" t="s">
        <v>166</v>
      </c>
      <c r="C648" t="s">
        <v>24</v>
      </c>
    </row>
    <row r="649" spans="1:7" x14ac:dyDescent="0.4">
      <c r="B649" t="s">
        <v>166</v>
      </c>
      <c r="C649" t="s">
        <v>25</v>
      </c>
    </row>
    <row r="650" spans="1:7" x14ac:dyDescent="0.4">
      <c r="B650" t="s">
        <v>166</v>
      </c>
      <c r="C650" t="s">
        <v>26</v>
      </c>
    </row>
    <row r="651" spans="1:7" x14ac:dyDescent="0.4">
      <c r="B651" t="s">
        <v>166</v>
      </c>
      <c r="C651" t="s">
        <v>180</v>
      </c>
    </row>
    <row r="652" spans="1:7" x14ac:dyDescent="0.4">
      <c r="A652">
        <v>9.5</v>
      </c>
      <c r="B652" t="s">
        <v>166</v>
      </c>
      <c r="C652" t="s">
        <v>147</v>
      </c>
      <c r="D652">
        <v>1</v>
      </c>
      <c r="E652" t="s">
        <v>15</v>
      </c>
      <c r="F652">
        <v>61245</v>
      </c>
      <c r="G652">
        <v>61245</v>
      </c>
    </row>
    <row r="653" spans="1:7" x14ac:dyDescent="0.4">
      <c r="B653" t="s">
        <v>166</v>
      </c>
      <c r="C653" t="s">
        <v>181</v>
      </c>
    </row>
    <row r="654" spans="1:7" x14ac:dyDescent="0.4">
      <c r="B654" t="s">
        <v>166</v>
      </c>
      <c r="C654" t="s">
        <v>17</v>
      </c>
    </row>
    <row r="655" spans="1:7" x14ac:dyDescent="0.4">
      <c r="B655" t="s">
        <v>166</v>
      </c>
      <c r="C655" t="s">
        <v>18</v>
      </c>
    </row>
    <row r="656" spans="1:7" x14ac:dyDescent="0.4">
      <c r="B656" t="s">
        <v>166</v>
      </c>
      <c r="C656" t="s">
        <v>128</v>
      </c>
    </row>
    <row r="657" spans="1:7" x14ac:dyDescent="0.4">
      <c r="B657" t="s">
        <v>166</v>
      </c>
      <c r="C657" t="s">
        <v>90</v>
      </c>
    </row>
    <row r="658" spans="1:7" x14ac:dyDescent="0.4">
      <c r="B658" t="s">
        <v>166</v>
      </c>
      <c r="C658" t="s">
        <v>179</v>
      </c>
    </row>
    <row r="659" spans="1:7" x14ac:dyDescent="0.4">
      <c r="B659" t="s">
        <v>166</v>
      </c>
      <c r="C659" t="s">
        <v>22</v>
      </c>
    </row>
    <row r="660" spans="1:7" x14ac:dyDescent="0.4">
      <c r="B660" t="s">
        <v>166</v>
      </c>
      <c r="C660" t="s">
        <v>23</v>
      </c>
    </row>
    <row r="661" spans="1:7" x14ac:dyDescent="0.4">
      <c r="B661" t="s">
        <v>166</v>
      </c>
      <c r="C661" t="s">
        <v>24</v>
      </c>
    </row>
    <row r="662" spans="1:7" x14ac:dyDescent="0.4">
      <c r="B662" t="s">
        <v>166</v>
      </c>
      <c r="C662" t="s">
        <v>25</v>
      </c>
    </row>
    <row r="663" spans="1:7" x14ac:dyDescent="0.4">
      <c r="B663" t="s">
        <v>166</v>
      </c>
      <c r="C663" t="s">
        <v>26</v>
      </c>
    </row>
    <row r="664" spans="1:7" x14ac:dyDescent="0.4">
      <c r="B664" t="s">
        <v>166</v>
      </c>
      <c r="C664" t="s">
        <v>180</v>
      </c>
    </row>
    <row r="665" spans="1:7" x14ac:dyDescent="0.4">
      <c r="A665">
        <v>9.6</v>
      </c>
      <c r="B665" t="s">
        <v>166</v>
      </c>
      <c r="C665" t="s">
        <v>182</v>
      </c>
      <c r="D665">
        <v>1</v>
      </c>
      <c r="E665" t="s">
        <v>15</v>
      </c>
      <c r="F665">
        <v>188805</v>
      </c>
      <c r="G665">
        <v>188805</v>
      </c>
    </row>
    <row r="666" spans="1:7" x14ac:dyDescent="0.4">
      <c r="B666" t="s">
        <v>166</v>
      </c>
      <c r="C666" t="s">
        <v>183</v>
      </c>
    </row>
    <row r="667" spans="1:7" x14ac:dyDescent="0.4">
      <c r="B667" t="s">
        <v>166</v>
      </c>
      <c r="C667" t="s">
        <v>17</v>
      </c>
    </row>
    <row r="668" spans="1:7" x14ac:dyDescent="0.4">
      <c r="B668" t="s">
        <v>166</v>
      </c>
      <c r="C668" t="s">
        <v>18</v>
      </c>
    </row>
    <row r="669" spans="1:7" x14ac:dyDescent="0.4">
      <c r="B669" t="s">
        <v>166</v>
      </c>
      <c r="C669" t="s">
        <v>49</v>
      </c>
    </row>
    <row r="670" spans="1:7" x14ac:dyDescent="0.4">
      <c r="B670" t="s">
        <v>166</v>
      </c>
      <c r="C670" t="s">
        <v>184</v>
      </c>
    </row>
    <row r="671" spans="1:7" x14ac:dyDescent="0.4">
      <c r="B671" t="s">
        <v>166</v>
      </c>
      <c r="C671" t="s">
        <v>185</v>
      </c>
    </row>
    <row r="672" spans="1:7" x14ac:dyDescent="0.4">
      <c r="B672" t="s">
        <v>166</v>
      </c>
      <c r="C672" t="s">
        <v>52</v>
      </c>
    </row>
    <row r="673" spans="1:7" x14ac:dyDescent="0.4">
      <c r="B673" t="s">
        <v>166</v>
      </c>
      <c r="C673" t="s">
        <v>53</v>
      </c>
    </row>
    <row r="674" spans="1:7" x14ac:dyDescent="0.4">
      <c r="B674" t="s">
        <v>166</v>
      </c>
      <c r="C674" t="s">
        <v>130</v>
      </c>
    </row>
    <row r="675" spans="1:7" x14ac:dyDescent="0.4">
      <c r="B675" t="s">
        <v>166</v>
      </c>
      <c r="C675" t="s">
        <v>55</v>
      </c>
    </row>
    <row r="676" spans="1:7" x14ac:dyDescent="0.4">
      <c r="B676" t="s">
        <v>166</v>
      </c>
      <c r="C676" t="s">
        <v>173</v>
      </c>
    </row>
    <row r="677" spans="1:7" x14ac:dyDescent="0.4">
      <c r="B677" t="s">
        <v>166</v>
      </c>
      <c r="C677" t="s">
        <v>186</v>
      </c>
    </row>
    <row r="678" spans="1:7" x14ac:dyDescent="0.4">
      <c r="B678" t="s">
        <v>166</v>
      </c>
      <c r="C678" t="s">
        <v>33</v>
      </c>
    </row>
    <row r="679" spans="1:7" x14ac:dyDescent="0.4">
      <c r="B679" t="s">
        <v>166</v>
      </c>
      <c r="C679" t="s">
        <v>22</v>
      </c>
    </row>
    <row r="680" spans="1:7" x14ac:dyDescent="0.4">
      <c r="B680" t="s">
        <v>166</v>
      </c>
      <c r="C680" t="s">
        <v>34</v>
      </c>
    </row>
    <row r="681" spans="1:7" x14ac:dyDescent="0.4">
      <c r="B681" t="s">
        <v>166</v>
      </c>
      <c r="C681" t="s">
        <v>35</v>
      </c>
    </row>
    <row r="682" spans="1:7" x14ac:dyDescent="0.4">
      <c r="B682" t="s">
        <v>166</v>
      </c>
      <c r="C682" t="s">
        <v>26</v>
      </c>
    </row>
    <row r="683" spans="1:7" x14ac:dyDescent="0.4">
      <c r="B683" t="s">
        <v>166</v>
      </c>
      <c r="C683" t="s">
        <v>66</v>
      </c>
    </row>
    <row r="684" spans="1:7" x14ac:dyDescent="0.4">
      <c r="A684">
        <v>9.6999999999999993</v>
      </c>
      <c r="B684" t="s">
        <v>166</v>
      </c>
      <c r="C684" t="s">
        <v>187</v>
      </c>
      <c r="D684">
        <v>1</v>
      </c>
      <c r="E684" t="s">
        <v>15</v>
      </c>
      <c r="F684">
        <v>32038</v>
      </c>
      <c r="G684">
        <v>32038</v>
      </c>
    </row>
    <row r="685" spans="1:7" x14ac:dyDescent="0.4">
      <c r="B685" t="s">
        <v>166</v>
      </c>
      <c r="C685" t="s">
        <v>188</v>
      </c>
    </row>
    <row r="686" spans="1:7" x14ac:dyDescent="0.4">
      <c r="B686" t="s">
        <v>166</v>
      </c>
      <c r="C686" t="s">
        <v>17</v>
      </c>
    </row>
    <row r="687" spans="1:7" x14ac:dyDescent="0.4">
      <c r="B687" t="s">
        <v>166</v>
      </c>
      <c r="C687" t="s">
        <v>18</v>
      </c>
    </row>
    <row r="688" spans="1:7" x14ac:dyDescent="0.4">
      <c r="B688" t="s">
        <v>166</v>
      </c>
      <c r="C688" t="s">
        <v>49</v>
      </c>
    </row>
    <row r="689" spans="1:7" x14ac:dyDescent="0.4">
      <c r="B689" t="s">
        <v>166</v>
      </c>
      <c r="C689" t="s">
        <v>52</v>
      </c>
    </row>
    <row r="690" spans="1:7" x14ac:dyDescent="0.4">
      <c r="B690" t="s">
        <v>166</v>
      </c>
      <c r="C690" t="s">
        <v>53</v>
      </c>
    </row>
    <row r="691" spans="1:7" x14ac:dyDescent="0.4">
      <c r="B691" t="s">
        <v>166</v>
      </c>
      <c r="C691" t="s">
        <v>130</v>
      </c>
    </row>
    <row r="692" spans="1:7" x14ac:dyDescent="0.4">
      <c r="B692" t="s">
        <v>166</v>
      </c>
      <c r="C692" t="s">
        <v>131</v>
      </c>
    </row>
    <row r="693" spans="1:7" x14ac:dyDescent="0.4">
      <c r="B693" t="s">
        <v>166</v>
      </c>
      <c r="C693" t="s">
        <v>55</v>
      </c>
    </row>
    <row r="694" spans="1:7" x14ac:dyDescent="0.4">
      <c r="B694" t="s">
        <v>166</v>
      </c>
      <c r="C694" t="s">
        <v>173</v>
      </c>
    </row>
    <row r="695" spans="1:7" x14ac:dyDescent="0.4">
      <c r="B695" t="s">
        <v>166</v>
      </c>
      <c r="C695" t="s">
        <v>25</v>
      </c>
    </row>
    <row r="696" spans="1:7" x14ac:dyDescent="0.4">
      <c r="A696">
        <v>9.8000000000000007</v>
      </c>
      <c r="B696" t="s">
        <v>166</v>
      </c>
      <c r="C696" t="s">
        <v>59</v>
      </c>
      <c r="D696">
        <v>2</v>
      </c>
      <c r="E696" t="s">
        <v>15</v>
      </c>
      <c r="F696">
        <v>15095</v>
      </c>
      <c r="G696">
        <v>30190</v>
      </c>
    </row>
    <row r="697" spans="1:7" x14ac:dyDescent="0.4">
      <c r="A697">
        <v>10</v>
      </c>
      <c r="B697" t="s">
        <v>166</v>
      </c>
      <c r="C697" t="s">
        <v>191</v>
      </c>
    </row>
    <row r="698" spans="1:7" x14ac:dyDescent="0.4">
      <c r="A698">
        <v>10.1</v>
      </c>
      <c r="B698" t="s">
        <v>166</v>
      </c>
      <c r="C698" t="s">
        <v>177</v>
      </c>
      <c r="D698">
        <v>1</v>
      </c>
      <c r="E698" t="s">
        <v>15</v>
      </c>
      <c r="F698">
        <v>24570</v>
      </c>
      <c r="G698">
        <v>24570</v>
      </c>
    </row>
    <row r="699" spans="1:7" x14ac:dyDescent="0.4">
      <c r="B699" t="s">
        <v>166</v>
      </c>
      <c r="C699" t="s">
        <v>44</v>
      </c>
    </row>
    <row r="700" spans="1:7" x14ac:dyDescent="0.4">
      <c r="B700" t="s">
        <v>166</v>
      </c>
      <c r="C700" t="s">
        <v>45</v>
      </c>
    </row>
    <row r="701" spans="1:7" x14ac:dyDescent="0.4">
      <c r="B701" t="s">
        <v>166</v>
      </c>
      <c r="C701" t="s">
        <v>18</v>
      </c>
    </row>
    <row r="702" spans="1:7" x14ac:dyDescent="0.4">
      <c r="B702" t="s">
        <v>166</v>
      </c>
      <c r="C702" t="s">
        <v>46</v>
      </c>
    </row>
    <row r="703" spans="1:7" x14ac:dyDescent="0.4">
      <c r="A703">
        <v>10.199999999999999</v>
      </c>
      <c r="B703" t="s">
        <v>166</v>
      </c>
      <c r="C703" t="s">
        <v>98</v>
      </c>
      <c r="D703">
        <v>1</v>
      </c>
      <c r="E703" t="s">
        <v>15</v>
      </c>
      <c r="F703">
        <v>55650</v>
      </c>
      <c r="G703">
        <v>55650</v>
      </c>
    </row>
    <row r="704" spans="1:7" x14ac:dyDescent="0.4">
      <c r="B704" t="s">
        <v>166</v>
      </c>
      <c r="C704" t="s">
        <v>99</v>
      </c>
    </row>
    <row r="705" spans="1:7" x14ac:dyDescent="0.4">
      <c r="A705">
        <v>10.3</v>
      </c>
      <c r="B705" t="s">
        <v>166</v>
      </c>
      <c r="C705" t="s">
        <v>133</v>
      </c>
      <c r="D705">
        <v>4</v>
      </c>
      <c r="E705" t="s">
        <v>15</v>
      </c>
      <c r="F705">
        <v>202577</v>
      </c>
      <c r="G705">
        <v>810308</v>
      </c>
    </row>
    <row r="706" spans="1:7" x14ac:dyDescent="0.4">
      <c r="B706" t="s">
        <v>166</v>
      </c>
      <c r="C706" t="s">
        <v>124</v>
      </c>
    </row>
    <row r="707" spans="1:7" x14ac:dyDescent="0.4">
      <c r="B707" t="s">
        <v>166</v>
      </c>
      <c r="C707" t="s">
        <v>73</v>
      </c>
    </row>
    <row r="708" spans="1:7" x14ac:dyDescent="0.4">
      <c r="B708" t="s">
        <v>166</v>
      </c>
      <c r="C708" t="s">
        <v>74</v>
      </c>
    </row>
    <row r="709" spans="1:7" x14ac:dyDescent="0.4">
      <c r="B709" t="s">
        <v>166</v>
      </c>
      <c r="C709" t="s">
        <v>75</v>
      </c>
    </row>
    <row r="710" spans="1:7" x14ac:dyDescent="0.4">
      <c r="B710" t="s">
        <v>166</v>
      </c>
      <c r="C710" t="s">
        <v>76</v>
      </c>
    </row>
    <row r="711" spans="1:7" x14ac:dyDescent="0.4">
      <c r="B711" t="s">
        <v>166</v>
      </c>
      <c r="C711" t="s">
        <v>77</v>
      </c>
    </row>
    <row r="712" spans="1:7" x14ac:dyDescent="0.4">
      <c r="B712" t="s">
        <v>166</v>
      </c>
      <c r="C712" t="s">
        <v>78</v>
      </c>
    </row>
    <row r="713" spans="1:7" x14ac:dyDescent="0.4">
      <c r="B713" t="s">
        <v>166</v>
      </c>
      <c r="C713" t="s">
        <v>79</v>
      </c>
    </row>
    <row r="714" spans="1:7" x14ac:dyDescent="0.4">
      <c r="B714" t="s">
        <v>166</v>
      </c>
      <c r="C714" t="s">
        <v>80</v>
      </c>
    </row>
    <row r="715" spans="1:7" x14ac:dyDescent="0.4">
      <c r="B715" t="s">
        <v>166</v>
      </c>
      <c r="C715" t="s">
        <v>81</v>
      </c>
    </row>
    <row r="716" spans="1:7" x14ac:dyDescent="0.4">
      <c r="B716" t="s">
        <v>166</v>
      </c>
      <c r="C716" t="s">
        <v>82</v>
      </c>
    </row>
    <row r="717" spans="1:7" x14ac:dyDescent="0.4">
      <c r="B717" t="s">
        <v>166</v>
      </c>
      <c r="C717" t="s">
        <v>83</v>
      </c>
    </row>
    <row r="718" spans="1:7" x14ac:dyDescent="0.4">
      <c r="B718" t="s">
        <v>166</v>
      </c>
      <c r="C718" t="s">
        <v>84</v>
      </c>
    </row>
    <row r="719" spans="1:7" x14ac:dyDescent="0.4">
      <c r="B719" t="s">
        <v>166</v>
      </c>
      <c r="C719" t="s">
        <v>86</v>
      </c>
    </row>
    <row r="720" spans="1:7" x14ac:dyDescent="0.4">
      <c r="B720" t="s">
        <v>166</v>
      </c>
      <c r="C720" t="s">
        <v>125</v>
      </c>
    </row>
    <row r="721" spans="1:7" x14ac:dyDescent="0.4">
      <c r="B721" t="s">
        <v>166</v>
      </c>
      <c r="C721" t="s">
        <v>25</v>
      </c>
    </row>
    <row r="722" spans="1:7" x14ac:dyDescent="0.4">
      <c r="B722" t="s">
        <v>166</v>
      </c>
      <c r="C722" t="s">
        <v>26</v>
      </c>
    </row>
    <row r="723" spans="1:7" x14ac:dyDescent="0.4">
      <c r="A723">
        <v>10.4</v>
      </c>
      <c r="B723" t="s">
        <v>166</v>
      </c>
      <c r="C723" t="s">
        <v>147</v>
      </c>
      <c r="D723">
        <v>1</v>
      </c>
      <c r="E723" t="s">
        <v>15</v>
      </c>
      <c r="F723">
        <v>60744</v>
      </c>
      <c r="G723">
        <v>60744</v>
      </c>
    </row>
    <row r="724" spans="1:7" x14ac:dyDescent="0.4">
      <c r="B724" t="s">
        <v>166</v>
      </c>
      <c r="C724" t="s">
        <v>178</v>
      </c>
    </row>
    <row r="725" spans="1:7" x14ac:dyDescent="0.4">
      <c r="B725" t="s">
        <v>166</v>
      </c>
      <c r="C725" t="s">
        <v>17</v>
      </c>
    </row>
    <row r="726" spans="1:7" x14ac:dyDescent="0.4">
      <c r="B726" t="s">
        <v>166</v>
      </c>
      <c r="C726" t="s">
        <v>18</v>
      </c>
    </row>
    <row r="727" spans="1:7" x14ac:dyDescent="0.4">
      <c r="B727" t="s">
        <v>166</v>
      </c>
      <c r="C727" t="s">
        <v>128</v>
      </c>
    </row>
    <row r="728" spans="1:7" x14ac:dyDescent="0.4">
      <c r="B728" t="s">
        <v>166</v>
      </c>
      <c r="C728" t="s">
        <v>90</v>
      </c>
    </row>
    <row r="729" spans="1:7" x14ac:dyDescent="0.4">
      <c r="B729" t="s">
        <v>166</v>
      </c>
      <c r="C729" t="s">
        <v>179</v>
      </c>
    </row>
    <row r="730" spans="1:7" x14ac:dyDescent="0.4">
      <c r="B730" t="s">
        <v>166</v>
      </c>
      <c r="C730" t="s">
        <v>22</v>
      </c>
    </row>
    <row r="731" spans="1:7" x14ac:dyDescent="0.4">
      <c r="B731" t="s">
        <v>166</v>
      </c>
      <c r="C731" t="s">
        <v>23</v>
      </c>
    </row>
    <row r="732" spans="1:7" x14ac:dyDescent="0.4">
      <c r="B732" t="s">
        <v>166</v>
      </c>
      <c r="C732" t="s">
        <v>24</v>
      </c>
    </row>
    <row r="733" spans="1:7" x14ac:dyDescent="0.4">
      <c r="B733" t="s">
        <v>166</v>
      </c>
      <c r="C733" t="s">
        <v>25</v>
      </c>
    </row>
    <row r="734" spans="1:7" x14ac:dyDescent="0.4">
      <c r="B734" t="s">
        <v>166</v>
      </c>
      <c r="C734" t="s">
        <v>26</v>
      </c>
    </row>
    <row r="735" spans="1:7" x14ac:dyDescent="0.4">
      <c r="B735" t="s">
        <v>166</v>
      </c>
      <c r="C735" t="s">
        <v>180</v>
      </c>
    </row>
    <row r="736" spans="1:7" x14ac:dyDescent="0.4">
      <c r="A736">
        <v>10.5</v>
      </c>
      <c r="B736" t="s">
        <v>166</v>
      </c>
      <c r="C736" t="s">
        <v>147</v>
      </c>
      <c r="D736">
        <v>1</v>
      </c>
      <c r="E736" t="s">
        <v>15</v>
      </c>
      <c r="F736">
        <v>61245</v>
      </c>
      <c r="G736">
        <v>61245</v>
      </c>
    </row>
    <row r="737" spans="1:7" x14ac:dyDescent="0.4">
      <c r="B737" t="s">
        <v>166</v>
      </c>
      <c r="C737" t="s">
        <v>181</v>
      </c>
    </row>
    <row r="738" spans="1:7" x14ac:dyDescent="0.4">
      <c r="B738" t="s">
        <v>166</v>
      </c>
      <c r="C738" t="s">
        <v>17</v>
      </c>
    </row>
    <row r="739" spans="1:7" x14ac:dyDescent="0.4">
      <c r="B739" t="s">
        <v>166</v>
      </c>
      <c r="C739" t="s">
        <v>18</v>
      </c>
    </row>
    <row r="740" spans="1:7" x14ac:dyDescent="0.4">
      <c r="B740" t="s">
        <v>166</v>
      </c>
      <c r="C740" t="s">
        <v>128</v>
      </c>
    </row>
    <row r="741" spans="1:7" x14ac:dyDescent="0.4">
      <c r="B741" t="s">
        <v>166</v>
      </c>
      <c r="C741" t="s">
        <v>90</v>
      </c>
    </row>
    <row r="742" spans="1:7" x14ac:dyDescent="0.4">
      <c r="B742" t="s">
        <v>166</v>
      </c>
      <c r="C742" t="s">
        <v>179</v>
      </c>
    </row>
    <row r="743" spans="1:7" x14ac:dyDescent="0.4">
      <c r="B743" t="s">
        <v>166</v>
      </c>
      <c r="C743" t="s">
        <v>22</v>
      </c>
    </row>
    <row r="744" spans="1:7" x14ac:dyDescent="0.4">
      <c r="B744" t="s">
        <v>166</v>
      </c>
      <c r="C744" t="s">
        <v>23</v>
      </c>
    </row>
    <row r="745" spans="1:7" x14ac:dyDescent="0.4">
      <c r="B745" t="s">
        <v>166</v>
      </c>
      <c r="C745" t="s">
        <v>24</v>
      </c>
    </row>
    <row r="746" spans="1:7" x14ac:dyDescent="0.4">
      <c r="B746" t="s">
        <v>166</v>
      </c>
      <c r="C746" t="s">
        <v>25</v>
      </c>
    </row>
    <row r="747" spans="1:7" x14ac:dyDescent="0.4">
      <c r="B747" t="s">
        <v>166</v>
      </c>
      <c r="C747" t="s">
        <v>26</v>
      </c>
    </row>
    <row r="748" spans="1:7" x14ac:dyDescent="0.4">
      <c r="B748" t="s">
        <v>166</v>
      </c>
      <c r="C748" t="s">
        <v>180</v>
      </c>
    </row>
    <row r="749" spans="1:7" x14ac:dyDescent="0.4">
      <c r="A749">
        <v>10.6</v>
      </c>
      <c r="B749" t="s">
        <v>166</v>
      </c>
      <c r="C749" t="s">
        <v>182</v>
      </c>
      <c r="D749">
        <v>1</v>
      </c>
      <c r="E749" t="s">
        <v>15</v>
      </c>
      <c r="F749">
        <v>188805</v>
      </c>
      <c r="G749">
        <v>188805</v>
      </c>
    </row>
    <row r="750" spans="1:7" x14ac:dyDescent="0.4">
      <c r="B750" t="s">
        <v>166</v>
      </c>
      <c r="C750" t="s">
        <v>183</v>
      </c>
    </row>
    <row r="751" spans="1:7" x14ac:dyDescent="0.4">
      <c r="B751" t="s">
        <v>166</v>
      </c>
      <c r="C751" t="s">
        <v>17</v>
      </c>
    </row>
    <row r="752" spans="1:7" x14ac:dyDescent="0.4">
      <c r="B752" t="s">
        <v>166</v>
      </c>
      <c r="C752" t="s">
        <v>18</v>
      </c>
    </row>
    <row r="753" spans="1:7" x14ac:dyDescent="0.4">
      <c r="B753" t="s">
        <v>166</v>
      </c>
      <c r="C753" t="s">
        <v>49</v>
      </c>
    </row>
    <row r="754" spans="1:7" x14ac:dyDescent="0.4">
      <c r="B754" t="s">
        <v>166</v>
      </c>
      <c r="C754" t="s">
        <v>184</v>
      </c>
    </row>
    <row r="755" spans="1:7" x14ac:dyDescent="0.4">
      <c r="B755" t="s">
        <v>166</v>
      </c>
      <c r="C755" t="s">
        <v>185</v>
      </c>
    </row>
    <row r="756" spans="1:7" x14ac:dyDescent="0.4">
      <c r="B756" t="s">
        <v>166</v>
      </c>
      <c r="C756" t="s">
        <v>52</v>
      </c>
    </row>
    <row r="757" spans="1:7" x14ac:dyDescent="0.4">
      <c r="B757" t="s">
        <v>166</v>
      </c>
      <c r="C757" t="s">
        <v>53</v>
      </c>
    </row>
    <row r="758" spans="1:7" x14ac:dyDescent="0.4">
      <c r="B758" t="s">
        <v>166</v>
      </c>
      <c r="C758" t="s">
        <v>130</v>
      </c>
    </row>
    <row r="759" spans="1:7" x14ac:dyDescent="0.4">
      <c r="B759" t="s">
        <v>166</v>
      </c>
      <c r="C759" t="s">
        <v>55</v>
      </c>
    </row>
    <row r="760" spans="1:7" x14ac:dyDescent="0.4">
      <c r="B760" t="s">
        <v>166</v>
      </c>
      <c r="C760" t="s">
        <v>173</v>
      </c>
    </row>
    <row r="761" spans="1:7" x14ac:dyDescent="0.4">
      <c r="B761" t="s">
        <v>166</v>
      </c>
      <c r="C761" t="s">
        <v>186</v>
      </c>
    </row>
    <row r="762" spans="1:7" x14ac:dyDescent="0.4">
      <c r="B762" t="s">
        <v>166</v>
      </c>
      <c r="C762" t="s">
        <v>33</v>
      </c>
    </row>
    <row r="763" spans="1:7" x14ac:dyDescent="0.4">
      <c r="B763" t="s">
        <v>166</v>
      </c>
      <c r="C763" t="s">
        <v>22</v>
      </c>
    </row>
    <row r="764" spans="1:7" x14ac:dyDescent="0.4">
      <c r="B764" t="s">
        <v>166</v>
      </c>
      <c r="C764" t="s">
        <v>34</v>
      </c>
    </row>
    <row r="765" spans="1:7" x14ac:dyDescent="0.4">
      <c r="B765" t="s">
        <v>166</v>
      </c>
      <c r="C765" t="s">
        <v>35</v>
      </c>
    </row>
    <row r="766" spans="1:7" x14ac:dyDescent="0.4">
      <c r="B766" t="s">
        <v>166</v>
      </c>
      <c r="C766" t="s">
        <v>26</v>
      </c>
    </row>
    <row r="767" spans="1:7" x14ac:dyDescent="0.4">
      <c r="B767" t="s">
        <v>166</v>
      </c>
      <c r="C767" t="s">
        <v>66</v>
      </c>
    </row>
    <row r="768" spans="1:7" x14ac:dyDescent="0.4">
      <c r="A768">
        <v>10.7</v>
      </c>
      <c r="B768" t="s">
        <v>166</v>
      </c>
      <c r="C768" t="s">
        <v>187</v>
      </c>
      <c r="D768">
        <v>1</v>
      </c>
      <c r="E768" t="s">
        <v>15</v>
      </c>
      <c r="F768">
        <v>32038</v>
      </c>
      <c r="G768">
        <v>32038</v>
      </c>
    </row>
    <row r="769" spans="1:7" x14ac:dyDescent="0.4">
      <c r="B769" t="s">
        <v>166</v>
      </c>
      <c r="C769" t="s">
        <v>188</v>
      </c>
    </row>
    <row r="770" spans="1:7" x14ac:dyDescent="0.4">
      <c r="B770" t="s">
        <v>166</v>
      </c>
      <c r="C770" t="s">
        <v>17</v>
      </c>
    </row>
    <row r="771" spans="1:7" x14ac:dyDescent="0.4">
      <c r="B771" t="s">
        <v>166</v>
      </c>
      <c r="C771" t="s">
        <v>18</v>
      </c>
    </row>
    <row r="772" spans="1:7" x14ac:dyDescent="0.4">
      <c r="B772" t="s">
        <v>166</v>
      </c>
      <c r="C772" t="s">
        <v>49</v>
      </c>
    </row>
    <row r="773" spans="1:7" x14ac:dyDescent="0.4">
      <c r="B773" t="s">
        <v>166</v>
      </c>
      <c r="C773" t="s">
        <v>52</v>
      </c>
    </row>
    <row r="774" spans="1:7" x14ac:dyDescent="0.4">
      <c r="B774" t="s">
        <v>166</v>
      </c>
      <c r="C774" t="s">
        <v>53</v>
      </c>
    </row>
    <row r="775" spans="1:7" x14ac:dyDescent="0.4">
      <c r="B775" t="s">
        <v>166</v>
      </c>
      <c r="C775" t="s">
        <v>130</v>
      </c>
    </row>
    <row r="776" spans="1:7" x14ac:dyDescent="0.4">
      <c r="B776" t="s">
        <v>166</v>
      </c>
      <c r="C776" t="s">
        <v>131</v>
      </c>
    </row>
    <row r="777" spans="1:7" x14ac:dyDescent="0.4">
      <c r="B777" t="s">
        <v>166</v>
      </c>
      <c r="C777" t="s">
        <v>55</v>
      </c>
    </row>
    <row r="778" spans="1:7" x14ac:dyDescent="0.4">
      <c r="B778" t="s">
        <v>166</v>
      </c>
      <c r="C778" t="s">
        <v>173</v>
      </c>
    </row>
    <row r="779" spans="1:7" x14ac:dyDescent="0.4">
      <c r="B779" t="s">
        <v>166</v>
      </c>
      <c r="C779" t="s">
        <v>25</v>
      </c>
    </row>
    <row r="780" spans="1:7" x14ac:dyDescent="0.4">
      <c r="A780">
        <v>10.8</v>
      </c>
      <c r="B780" t="s">
        <v>166</v>
      </c>
      <c r="C780" t="s">
        <v>59</v>
      </c>
      <c r="D780">
        <v>2</v>
      </c>
      <c r="E780" t="s">
        <v>15</v>
      </c>
      <c r="F780">
        <v>15095</v>
      </c>
      <c r="G780">
        <v>30190</v>
      </c>
    </row>
    <row r="781" spans="1:7" x14ac:dyDescent="0.4">
      <c r="A781">
        <v>11</v>
      </c>
      <c r="B781" t="s">
        <v>166</v>
      </c>
      <c r="C781" t="s">
        <v>192</v>
      </c>
    </row>
    <row r="782" spans="1:7" x14ac:dyDescent="0.4">
      <c r="A782">
        <v>11.1</v>
      </c>
      <c r="B782" t="s">
        <v>166</v>
      </c>
      <c r="C782" t="s">
        <v>177</v>
      </c>
      <c r="D782">
        <v>1</v>
      </c>
      <c r="E782" t="s">
        <v>15</v>
      </c>
      <c r="F782">
        <v>24570</v>
      </c>
      <c r="G782">
        <v>24570</v>
      </c>
    </row>
    <row r="783" spans="1:7" x14ac:dyDescent="0.4">
      <c r="B783" t="s">
        <v>166</v>
      </c>
      <c r="C783" t="s">
        <v>44</v>
      </c>
    </row>
    <row r="784" spans="1:7" x14ac:dyDescent="0.4">
      <c r="B784" t="s">
        <v>166</v>
      </c>
      <c r="C784" t="s">
        <v>45</v>
      </c>
    </row>
    <row r="785" spans="1:7" x14ac:dyDescent="0.4">
      <c r="B785" t="s">
        <v>166</v>
      </c>
      <c r="C785" t="s">
        <v>18</v>
      </c>
    </row>
    <row r="786" spans="1:7" x14ac:dyDescent="0.4">
      <c r="B786" t="s">
        <v>166</v>
      </c>
      <c r="C786" t="s">
        <v>46</v>
      </c>
    </row>
    <row r="787" spans="1:7" x14ac:dyDescent="0.4">
      <c r="A787">
        <v>11.2</v>
      </c>
      <c r="B787" t="s">
        <v>166</v>
      </c>
      <c r="C787" t="s">
        <v>98</v>
      </c>
      <c r="D787">
        <v>1</v>
      </c>
      <c r="E787" t="s">
        <v>15</v>
      </c>
      <c r="F787">
        <v>55650</v>
      </c>
      <c r="G787">
        <v>55650</v>
      </c>
    </row>
    <row r="788" spans="1:7" x14ac:dyDescent="0.4">
      <c r="B788" t="s">
        <v>166</v>
      </c>
      <c r="C788" t="s">
        <v>99</v>
      </c>
    </row>
    <row r="789" spans="1:7" x14ac:dyDescent="0.4">
      <c r="A789">
        <v>11.3</v>
      </c>
      <c r="B789" t="s">
        <v>166</v>
      </c>
      <c r="C789" t="s">
        <v>133</v>
      </c>
      <c r="D789">
        <v>4</v>
      </c>
      <c r="E789" t="s">
        <v>15</v>
      </c>
      <c r="F789">
        <v>202577</v>
      </c>
      <c r="G789">
        <v>810308</v>
      </c>
    </row>
    <row r="790" spans="1:7" x14ac:dyDescent="0.4">
      <c r="B790" t="s">
        <v>166</v>
      </c>
      <c r="C790" t="s">
        <v>124</v>
      </c>
    </row>
    <row r="791" spans="1:7" x14ac:dyDescent="0.4">
      <c r="B791" t="s">
        <v>166</v>
      </c>
      <c r="C791" t="s">
        <v>73</v>
      </c>
    </row>
    <row r="792" spans="1:7" x14ac:dyDescent="0.4">
      <c r="B792" t="s">
        <v>166</v>
      </c>
      <c r="C792" t="s">
        <v>74</v>
      </c>
    </row>
    <row r="793" spans="1:7" x14ac:dyDescent="0.4">
      <c r="B793" t="s">
        <v>166</v>
      </c>
      <c r="C793" t="s">
        <v>75</v>
      </c>
    </row>
    <row r="794" spans="1:7" x14ac:dyDescent="0.4">
      <c r="B794" t="s">
        <v>166</v>
      </c>
      <c r="C794" t="s">
        <v>76</v>
      </c>
    </row>
    <row r="795" spans="1:7" x14ac:dyDescent="0.4">
      <c r="B795" t="s">
        <v>166</v>
      </c>
      <c r="C795" t="s">
        <v>77</v>
      </c>
    </row>
    <row r="796" spans="1:7" x14ac:dyDescent="0.4">
      <c r="B796" t="s">
        <v>166</v>
      </c>
      <c r="C796" t="s">
        <v>78</v>
      </c>
    </row>
    <row r="797" spans="1:7" x14ac:dyDescent="0.4">
      <c r="B797" t="s">
        <v>166</v>
      </c>
      <c r="C797" t="s">
        <v>79</v>
      </c>
    </row>
    <row r="798" spans="1:7" x14ac:dyDescent="0.4">
      <c r="B798" t="s">
        <v>166</v>
      </c>
      <c r="C798" t="s">
        <v>80</v>
      </c>
    </row>
    <row r="799" spans="1:7" x14ac:dyDescent="0.4">
      <c r="B799" t="s">
        <v>166</v>
      </c>
      <c r="C799" t="s">
        <v>81</v>
      </c>
    </row>
    <row r="800" spans="1:7" x14ac:dyDescent="0.4">
      <c r="B800" t="s">
        <v>166</v>
      </c>
      <c r="C800" t="s">
        <v>82</v>
      </c>
    </row>
    <row r="801" spans="1:7" x14ac:dyDescent="0.4">
      <c r="B801" t="s">
        <v>166</v>
      </c>
      <c r="C801" t="s">
        <v>83</v>
      </c>
    </row>
    <row r="802" spans="1:7" x14ac:dyDescent="0.4">
      <c r="B802" t="s">
        <v>166</v>
      </c>
      <c r="C802" t="s">
        <v>84</v>
      </c>
    </row>
    <row r="803" spans="1:7" x14ac:dyDescent="0.4">
      <c r="B803" t="s">
        <v>166</v>
      </c>
      <c r="C803" t="s">
        <v>86</v>
      </c>
    </row>
    <row r="804" spans="1:7" x14ac:dyDescent="0.4">
      <c r="B804" t="s">
        <v>166</v>
      </c>
      <c r="C804" t="s">
        <v>125</v>
      </c>
    </row>
    <row r="805" spans="1:7" x14ac:dyDescent="0.4">
      <c r="B805" t="s">
        <v>166</v>
      </c>
      <c r="C805" t="s">
        <v>25</v>
      </c>
    </row>
    <row r="806" spans="1:7" x14ac:dyDescent="0.4">
      <c r="B806" t="s">
        <v>166</v>
      </c>
      <c r="C806" t="s">
        <v>26</v>
      </c>
    </row>
    <row r="807" spans="1:7" x14ac:dyDescent="0.4">
      <c r="A807">
        <v>11.4</v>
      </c>
      <c r="B807" t="s">
        <v>166</v>
      </c>
      <c r="C807" t="s">
        <v>147</v>
      </c>
      <c r="D807">
        <v>1</v>
      </c>
      <c r="E807" t="s">
        <v>15</v>
      </c>
      <c r="F807">
        <v>60744</v>
      </c>
      <c r="G807">
        <v>60744</v>
      </c>
    </row>
    <row r="808" spans="1:7" x14ac:dyDescent="0.4">
      <c r="B808" t="s">
        <v>166</v>
      </c>
      <c r="C808" t="s">
        <v>178</v>
      </c>
    </row>
    <row r="809" spans="1:7" x14ac:dyDescent="0.4">
      <c r="B809" t="s">
        <v>166</v>
      </c>
      <c r="C809" t="s">
        <v>17</v>
      </c>
    </row>
    <row r="810" spans="1:7" x14ac:dyDescent="0.4">
      <c r="B810" t="s">
        <v>166</v>
      </c>
      <c r="C810" t="s">
        <v>18</v>
      </c>
    </row>
    <row r="811" spans="1:7" x14ac:dyDescent="0.4">
      <c r="B811" t="s">
        <v>166</v>
      </c>
      <c r="C811" t="s">
        <v>128</v>
      </c>
    </row>
    <row r="812" spans="1:7" x14ac:dyDescent="0.4">
      <c r="B812" t="s">
        <v>166</v>
      </c>
      <c r="C812" t="s">
        <v>90</v>
      </c>
    </row>
    <row r="813" spans="1:7" x14ac:dyDescent="0.4">
      <c r="B813" t="s">
        <v>166</v>
      </c>
      <c r="C813" t="s">
        <v>179</v>
      </c>
    </row>
    <row r="814" spans="1:7" x14ac:dyDescent="0.4">
      <c r="B814" t="s">
        <v>166</v>
      </c>
      <c r="C814" t="s">
        <v>22</v>
      </c>
    </row>
    <row r="815" spans="1:7" x14ac:dyDescent="0.4">
      <c r="B815" t="s">
        <v>166</v>
      </c>
      <c r="C815" t="s">
        <v>23</v>
      </c>
    </row>
    <row r="816" spans="1:7" x14ac:dyDescent="0.4">
      <c r="B816" t="s">
        <v>166</v>
      </c>
      <c r="C816" t="s">
        <v>24</v>
      </c>
    </row>
    <row r="817" spans="1:7" x14ac:dyDescent="0.4">
      <c r="B817" t="s">
        <v>166</v>
      </c>
      <c r="C817" t="s">
        <v>25</v>
      </c>
    </row>
    <row r="818" spans="1:7" x14ac:dyDescent="0.4">
      <c r="B818" t="s">
        <v>166</v>
      </c>
      <c r="C818" t="s">
        <v>26</v>
      </c>
    </row>
    <row r="819" spans="1:7" x14ac:dyDescent="0.4">
      <c r="B819" t="s">
        <v>166</v>
      </c>
      <c r="C819" t="s">
        <v>180</v>
      </c>
    </row>
    <row r="820" spans="1:7" x14ac:dyDescent="0.4">
      <c r="A820">
        <v>11.5</v>
      </c>
      <c r="B820" t="s">
        <v>166</v>
      </c>
      <c r="C820" t="s">
        <v>147</v>
      </c>
      <c r="D820">
        <v>1</v>
      </c>
      <c r="E820" t="s">
        <v>15</v>
      </c>
      <c r="F820">
        <v>61245</v>
      </c>
      <c r="G820">
        <v>61245</v>
      </c>
    </row>
    <row r="821" spans="1:7" x14ac:dyDescent="0.4">
      <c r="B821" t="s">
        <v>166</v>
      </c>
      <c r="C821" t="s">
        <v>181</v>
      </c>
    </row>
    <row r="822" spans="1:7" x14ac:dyDescent="0.4">
      <c r="B822" t="s">
        <v>166</v>
      </c>
      <c r="C822" t="s">
        <v>17</v>
      </c>
    </row>
    <row r="823" spans="1:7" x14ac:dyDescent="0.4">
      <c r="B823" t="s">
        <v>166</v>
      </c>
      <c r="C823" t="s">
        <v>18</v>
      </c>
    </row>
    <row r="824" spans="1:7" x14ac:dyDescent="0.4">
      <c r="B824" t="s">
        <v>166</v>
      </c>
      <c r="C824" t="s">
        <v>128</v>
      </c>
    </row>
    <row r="825" spans="1:7" x14ac:dyDescent="0.4">
      <c r="B825" t="s">
        <v>166</v>
      </c>
      <c r="C825" t="s">
        <v>90</v>
      </c>
    </row>
    <row r="826" spans="1:7" x14ac:dyDescent="0.4">
      <c r="B826" t="s">
        <v>166</v>
      </c>
      <c r="C826" t="s">
        <v>179</v>
      </c>
    </row>
    <row r="827" spans="1:7" x14ac:dyDescent="0.4">
      <c r="B827" t="s">
        <v>166</v>
      </c>
      <c r="C827" t="s">
        <v>22</v>
      </c>
    </row>
    <row r="828" spans="1:7" x14ac:dyDescent="0.4">
      <c r="B828" t="s">
        <v>166</v>
      </c>
      <c r="C828" t="s">
        <v>23</v>
      </c>
    </row>
    <row r="829" spans="1:7" x14ac:dyDescent="0.4">
      <c r="B829" t="s">
        <v>166</v>
      </c>
      <c r="C829" t="s">
        <v>24</v>
      </c>
    </row>
    <row r="830" spans="1:7" x14ac:dyDescent="0.4">
      <c r="B830" t="s">
        <v>166</v>
      </c>
      <c r="C830" t="s">
        <v>25</v>
      </c>
    </row>
    <row r="831" spans="1:7" x14ac:dyDescent="0.4">
      <c r="B831" t="s">
        <v>166</v>
      </c>
      <c r="C831" t="s">
        <v>26</v>
      </c>
    </row>
    <row r="832" spans="1:7" x14ac:dyDescent="0.4">
      <c r="B832" t="s">
        <v>166</v>
      </c>
      <c r="C832" t="s">
        <v>180</v>
      </c>
    </row>
    <row r="833" spans="1:7" x14ac:dyDescent="0.4">
      <c r="A833">
        <v>11.6</v>
      </c>
      <c r="B833" t="s">
        <v>166</v>
      </c>
      <c r="C833" t="s">
        <v>182</v>
      </c>
      <c r="D833">
        <v>1</v>
      </c>
      <c r="E833" t="s">
        <v>15</v>
      </c>
      <c r="F833">
        <v>188805</v>
      </c>
      <c r="G833">
        <v>188805</v>
      </c>
    </row>
    <row r="834" spans="1:7" x14ac:dyDescent="0.4">
      <c r="B834" t="s">
        <v>166</v>
      </c>
      <c r="C834" t="s">
        <v>183</v>
      </c>
    </row>
    <row r="835" spans="1:7" x14ac:dyDescent="0.4">
      <c r="B835" t="s">
        <v>166</v>
      </c>
      <c r="C835" t="s">
        <v>17</v>
      </c>
    </row>
    <row r="836" spans="1:7" x14ac:dyDescent="0.4">
      <c r="B836" t="s">
        <v>166</v>
      </c>
      <c r="C836" t="s">
        <v>18</v>
      </c>
    </row>
    <row r="837" spans="1:7" x14ac:dyDescent="0.4">
      <c r="B837" t="s">
        <v>166</v>
      </c>
      <c r="C837" t="s">
        <v>49</v>
      </c>
    </row>
    <row r="838" spans="1:7" x14ac:dyDescent="0.4">
      <c r="B838" t="s">
        <v>166</v>
      </c>
      <c r="C838" t="s">
        <v>184</v>
      </c>
    </row>
    <row r="839" spans="1:7" x14ac:dyDescent="0.4">
      <c r="B839" t="s">
        <v>166</v>
      </c>
      <c r="C839" t="s">
        <v>185</v>
      </c>
    </row>
    <row r="840" spans="1:7" x14ac:dyDescent="0.4">
      <c r="B840" t="s">
        <v>166</v>
      </c>
      <c r="C840" t="s">
        <v>52</v>
      </c>
    </row>
    <row r="841" spans="1:7" x14ac:dyDescent="0.4">
      <c r="B841" t="s">
        <v>166</v>
      </c>
      <c r="C841" t="s">
        <v>53</v>
      </c>
    </row>
    <row r="842" spans="1:7" x14ac:dyDescent="0.4">
      <c r="B842" t="s">
        <v>166</v>
      </c>
      <c r="C842" t="s">
        <v>130</v>
      </c>
    </row>
    <row r="843" spans="1:7" x14ac:dyDescent="0.4">
      <c r="B843" t="s">
        <v>166</v>
      </c>
      <c r="C843" t="s">
        <v>55</v>
      </c>
    </row>
    <row r="844" spans="1:7" x14ac:dyDescent="0.4">
      <c r="B844" t="s">
        <v>166</v>
      </c>
      <c r="C844" t="s">
        <v>173</v>
      </c>
    </row>
    <row r="845" spans="1:7" x14ac:dyDescent="0.4">
      <c r="B845" t="s">
        <v>166</v>
      </c>
      <c r="C845" t="s">
        <v>186</v>
      </c>
    </row>
    <row r="846" spans="1:7" x14ac:dyDescent="0.4">
      <c r="B846" t="s">
        <v>166</v>
      </c>
      <c r="C846" t="s">
        <v>33</v>
      </c>
    </row>
    <row r="847" spans="1:7" x14ac:dyDescent="0.4">
      <c r="B847" t="s">
        <v>166</v>
      </c>
      <c r="C847" t="s">
        <v>22</v>
      </c>
    </row>
    <row r="848" spans="1:7" x14ac:dyDescent="0.4">
      <c r="B848" t="s">
        <v>166</v>
      </c>
      <c r="C848" t="s">
        <v>34</v>
      </c>
    </row>
    <row r="849" spans="1:7" x14ac:dyDescent="0.4">
      <c r="B849" t="s">
        <v>166</v>
      </c>
      <c r="C849" t="s">
        <v>35</v>
      </c>
    </row>
    <row r="850" spans="1:7" x14ac:dyDescent="0.4">
      <c r="B850" t="s">
        <v>166</v>
      </c>
      <c r="C850" t="s">
        <v>26</v>
      </c>
    </row>
    <row r="851" spans="1:7" x14ac:dyDescent="0.4">
      <c r="B851" t="s">
        <v>166</v>
      </c>
      <c r="C851" t="s">
        <v>66</v>
      </c>
    </row>
    <row r="852" spans="1:7" x14ac:dyDescent="0.4">
      <c r="A852">
        <v>11.7</v>
      </c>
      <c r="B852" t="s">
        <v>166</v>
      </c>
      <c r="C852" t="s">
        <v>187</v>
      </c>
      <c r="D852">
        <v>1</v>
      </c>
      <c r="E852" t="s">
        <v>15</v>
      </c>
      <c r="F852">
        <v>32038</v>
      </c>
      <c r="G852">
        <v>32038</v>
      </c>
    </row>
    <row r="853" spans="1:7" x14ac:dyDescent="0.4">
      <c r="B853" t="s">
        <v>166</v>
      </c>
      <c r="C853" t="s">
        <v>188</v>
      </c>
    </row>
    <row r="854" spans="1:7" x14ac:dyDescent="0.4">
      <c r="B854" t="s">
        <v>166</v>
      </c>
      <c r="C854" t="s">
        <v>17</v>
      </c>
    </row>
    <row r="855" spans="1:7" x14ac:dyDescent="0.4">
      <c r="B855" t="s">
        <v>166</v>
      </c>
      <c r="C855" t="s">
        <v>18</v>
      </c>
    </row>
    <row r="856" spans="1:7" x14ac:dyDescent="0.4">
      <c r="B856" t="s">
        <v>166</v>
      </c>
      <c r="C856" t="s">
        <v>49</v>
      </c>
    </row>
    <row r="857" spans="1:7" x14ac:dyDescent="0.4">
      <c r="B857" t="s">
        <v>166</v>
      </c>
      <c r="C857" t="s">
        <v>52</v>
      </c>
    </row>
    <row r="858" spans="1:7" x14ac:dyDescent="0.4">
      <c r="B858" t="s">
        <v>166</v>
      </c>
      <c r="C858" t="s">
        <v>53</v>
      </c>
    </row>
    <row r="859" spans="1:7" x14ac:dyDescent="0.4">
      <c r="B859" t="s">
        <v>166</v>
      </c>
      <c r="C859" t="s">
        <v>130</v>
      </c>
    </row>
    <row r="860" spans="1:7" x14ac:dyDescent="0.4">
      <c r="B860" t="s">
        <v>166</v>
      </c>
      <c r="C860" t="s">
        <v>131</v>
      </c>
    </row>
    <row r="861" spans="1:7" x14ac:dyDescent="0.4">
      <c r="B861" t="s">
        <v>166</v>
      </c>
      <c r="C861" t="s">
        <v>55</v>
      </c>
    </row>
    <row r="862" spans="1:7" x14ac:dyDescent="0.4">
      <c r="B862" t="s">
        <v>166</v>
      </c>
      <c r="C862" t="s">
        <v>173</v>
      </c>
    </row>
    <row r="863" spans="1:7" x14ac:dyDescent="0.4">
      <c r="B863" t="s">
        <v>166</v>
      </c>
      <c r="C863" t="s">
        <v>25</v>
      </c>
    </row>
    <row r="864" spans="1:7" x14ac:dyDescent="0.4">
      <c r="A864">
        <v>11.8</v>
      </c>
      <c r="B864" t="s">
        <v>166</v>
      </c>
      <c r="C864" t="s">
        <v>59</v>
      </c>
      <c r="D864">
        <v>2</v>
      </c>
      <c r="E864" t="s">
        <v>15</v>
      </c>
      <c r="F864">
        <v>15095</v>
      </c>
      <c r="G864">
        <v>30190</v>
      </c>
    </row>
    <row r="865" spans="1:7" x14ac:dyDescent="0.4">
      <c r="A865">
        <v>12</v>
      </c>
      <c r="B865" t="s">
        <v>166</v>
      </c>
      <c r="C865" t="s">
        <v>193</v>
      </c>
    </row>
    <row r="866" spans="1:7" x14ac:dyDescent="0.4">
      <c r="A866">
        <v>12.1</v>
      </c>
      <c r="B866" t="s">
        <v>166</v>
      </c>
      <c r="C866" t="s">
        <v>177</v>
      </c>
      <c r="D866">
        <v>1</v>
      </c>
      <c r="E866" t="s">
        <v>15</v>
      </c>
      <c r="F866">
        <v>24570</v>
      </c>
      <c r="G866">
        <v>24570</v>
      </c>
    </row>
    <row r="867" spans="1:7" x14ac:dyDescent="0.4">
      <c r="B867" t="s">
        <v>166</v>
      </c>
      <c r="C867" t="s">
        <v>44</v>
      </c>
    </row>
    <row r="868" spans="1:7" x14ac:dyDescent="0.4">
      <c r="B868" t="s">
        <v>166</v>
      </c>
      <c r="C868" t="s">
        <v>45</v>
      </c>
    </row>
    <row r="869" spans="1:7" x14ac:dyDescent="0.4">
      <c r="B869" t="s">
        <v>166</v>
      </c>
      <c r="C869" t="s">
        <v>18</v>
      </c>
    </row>
    <row r="870" spans="1:7" x14ac:dyDescent="0.4">
      <c r="B870" t="s">
        <v>166</v>
      </c>
      <c r="C870" t="s">
        <v>46</v>
      </c>
    </row>
    <row r="871" spans="1:7" x14ac:dyDescent="0.4">
      <c r="A871">
        <v>12.2</v>
      </c>
      <c r="B871" t="s">
        <v>166</v>
      </c>
      <c r="C871" t="s">
        <v>98</v>
      </c>
      <c r="D871">
        <v>1</v>
      </c>
      <c r="E871" t="s">
        <v>15</v>
      </c>
      <c r="F871">
        <v>55650</v>
      </c>
      <c r="G871">
        <v>55650</v>
      </c>
    </row>
    <row r="872" spans="1:7" x14ac:dyDescent="0.4">
      <c r="B872" t="s">
        <v>166</v>
      </c>
      <c r="C872" t="s">
        <v>99</v>
      </c>
    </row>
    <row r="873" spans="1:7" x14ac:dyDescent="0.4">
      <c r="A873">
        <v>12.3</v>
      </c>
      <c r="B873" t="s">
        <v>166</v>
      </c>
      <c r="C873" t="s">
        <v>133</v>
      </c>
      <c r="D873">
        <v>4</v>
      </c>
      <c r="E873" t="s">
        <v>15</v>
      </c>
      <c r="F873">
        <v>202577</v>
      </c>
      <c r="G873">
        <v>810308</v>
      </c>
    </row>
    <row r="874" spans="1:7" x14ac:dyDescent="0.4">
      <c r="B874" t="s">
        <v>166</v>
      </c>
      <c r="C874" t="s">
        <v>124</v>
      </c>
    </row>
    <row r="875" spans="1:7" x14ac:dyDescent="0.4">
      <c r="B875" t="s">
        <v>166</v>
      </c>
      <c r="C875" t="s">
        <v>73</v>
      </c>
    </row>
    <row r="876" spans="1:7" x14ac:dyDescent="0.4">
      <c r="B876" t="s">
        <v>166</v>
      </c>
      <c r="C876" t="s">
        <v>74</v>
      </c>
    </row>
    <row r="877" spans="1:7" x14ac:dyDescent="0.4">
      <c r="B877" t="s">
        <v>166</v>
      </c>
      <c r="C877" t="s">
        <v>75</v>
      </c>
    </row>
    <row r="878" spans="1:7" x14ac:dyDescent="0.4">
      <c r="B878" t="s">
        <v>166</v>
      </c>
      <c r="C878" t="s">
        <v>76</v>
      </c>
    </row>
    <row r="879" spans="1:7" x14ac:dyDescent="0.4">
      <c r="B879" t="s">
        <v>166</v>
      </c>
      <c r="C879" t="s">
        <v>77</v>
      </c>
    </row>
    <row r="880" spans="1:7" x14ac:dyDescent="0.4">
      <c r="B880" t="s">
        <v>166</v>
      </c>
      <c r="C880" t="s">
        <v>78</v>
      </c>
    </row>
    <row r="881" spans="1:7" x14ac:dyDescent="0.4">
      <c r="B881" t="s">
        <v>166</v>
      </c>
      <c r="C881" t="s">
        <v>79</v>
      </c>
    </row>
    <row r="882" spans="1:7" x14ac:dyDescent="0.4">
      <c r="B882" t="s">
        <v>166</v>
      </c>
      <c r="C882" t="s">
        <v>80</v>
      </c>
    </row>
    <row r="883" spans="1:7" x14ac:dyDescent="0.4">
      <c r="B883" t="s">
        <v>166</v>
      </c>
      <c r="C883" t="s">
        <v>81</v>
      </c>
    </row>
    <row r="884" spans="1:7" x14ac:dyDescent="0.4">
      <c r="B884" t="s">
        <v>166</v>
      </c>
      <c r="C884" t="s">
        <v>82</v>
      </c>
    </row>
    <row r="885" spans="1:7" x14ac:dyDescent="0.4">
      <c r="B885" t="s">
        <v>166</v>
      </c>
      <c r="C885" t="s">
        <v>83</v>
      </c>
    </row>
    <row r="886" spans="1:7" x14ac:dyDescent="0.4">
      <c r="B886" t="s">
        <v>166</v>
      </c>
      <c r="C886" t="s">
        <v>84</v>
      </c>
    </row>
    <row r="887" spans="1:7" x14ac:dyDescent="0.4">
      <c r="B887" t="s">
        <v>166</v>
      </c>
      <c r="C887" t="s">
        <v>86</v>
      </c>
    </row>
    <row r="888" spans="1:7" x14ac:dyDescent="0.4">
      <c r="B888" t="s">
        <v>166</v>
      </c>
      <c r="C888" t="s">
        <v>125</v>
      </c>
    </row>
    <row r="889" spans="1:7" x14ac:dyDescent="0.4">
      <c r="B889" t="s">
        <v>166</v>
      </c>
      <c r="C889" t="s">
        <v>25</v>
      </c>
    </row>
    <row r="890" spans="1:7" x14ac:dyDescent="0.4">
      <c r="B890" t="s">
        <v>166</v>
      </c>
      <c r="C890" t="s">
        <v>26</v>
      </c>
    </row>
    <row r="891" spans="1:7" x14ac:dyDescent="0.4">
      <c r="A891">
        <v>12.4</v>
      </c>
      <c r="B891" t="s">
        <v>166</v>
      </c>
      <c r="C891" t="s">
        <v>147</v>
      </c>
      <c r="D891">
        <v>1</v>
      </c>
      <c r="E891" t="s">
        <v>15</v>
      </c>
      <c r="F891">
        <v>60744</v>
      </c>
      <c r="G891">
        <v>60744</v>
      </c>
    </row>
    <row r="892" spans="1:7" x14ac:dyDescent="0.4">
      <c r="B892" t="s">
        <v>166</v>
      </c>
      <c r="C892" t="s">
        <v>178</v>
      </c>
    </row>
    <row r="893" spans="1:7" x14ac:dyDescent="0.4">
      <c r="B893" t="s">
        <v>166</v>
      </c>
      <c r="C893" t="s">
        <v>17</v>
      </c>
    </row>
    <row r="894" spans="1:7" x14ac:dyDescent="0.4">
      <c r="B894" t="s">
        <v>166</v>
      </c>
      <c r="C894" t="s">
        <v>18</v>
      </c>
    </row>
    <row r="895" spans="1:7" x14ac:dyDescent="0.4">
      <c r="B895" t="s">
        <v>166</v>
      </c>
      <c r="C895" t="s">
        <v>128</v>
      </c>
    </row>
    <row r="896" spans="1:7" x14ac:dyDescent="0.4">
      <c r="B896" t="s">
        <v>166</v>
      </c>
      <c r="C896" t="s">
        <v>90</v>
      </c>
    </row>
    <row r="897" spans="1:7" x14ac:dyDescent="0.4">
      <c r="B897" t="s">
        <v>166</v>
      </c>
      <c r="C897" t="s">
        <v>179</v>
      </c>
    </row>
    <row r="898" spans="1:7" x14ac:dyDescent="0.4">
      <c r="B898" t="s">
        <v>166</v>
      </c>
      <c r="C898" t="s">
        <v>22</v>
      </c>
    </row>
    <row r="899" spans="1:7" x14ac:dyDescent="0.4">
      <c r="B899" t="s">
        <v>166</v>
      </c>
      <c r="C899" t="s">
        <v>23</v>
      </c>
    </row>
    <row r="900" spans="1:7" x14ac:dyDescent="0.4">
      <c r="B900" t="s">
        <v>166</v>
      </c>
      <c r="C900" t="s">
        <v>24</v>
      </c>
    </row>
    <row r="901" spans="1:7" x14ac:dyDescent="0.4">
      <c r="B901" t="s">
        <v>166</v>
      </c>
      <c r="C901" t="s">
        <v>25</v>
      </c>
    </row>
    <row r="902" spans="1:7" x14ac:dyDescent="0.4">
      <c r="B902" t="s">
        <v>166</v>
      </c>
      <c r="C902" t="s">
        <v>26</v>
      </c>
    </row>
    <row r="903" spans="1:7" x14ac:dyDescent="0.4">
      <c r="B903" t="s">
        <v>166</v>
      </c>
      <c r="C903" t="s">
        <v>180</v>
      </c>
    </row>
    <row r="904" spans="1:7" x14ac:dyDescent="0.4">
      <c r="A904">
        <v>12.5</v>
      </c>
      <c r="B904" t="s">
        <v>166</v>
      </c>
      <c r="C904" t="s">
        <v>147</v>
      </c>
      <c r="D904">
        <v>1</v>
      </c>
      <c r="E904" t="s">
        <v>15</v>
      </c>
      <c r="F904">
        <v>61245</v>
      </c>
      <c r="G904">
        <v>61245</v>
      </c>
    </row>
    <row r="905" spans="1:7" x14ac:dyDescent="0.4">
      <c r="B905" t="s">
        <v>166</v>
      </c>
      <c r="C905" t="s">
        <v>181</v>
      </c>
    </row>
    <row r="906" spans="1:7" x14ac:dyDescent="0.4">
      <c r="B906" t="s">
        <v>166</v>
      </c>
      <c r="C906" t="s">
        <v>17</v>
      </c>
    </row>
    <row r="907" spans="1:7" x14ac:dyDescent="0.4">
      <c r="B907" t="s">
        <v>166</v>
      </c>
      <c r="C907" t="s">
        <v>18</v>
      </c>
    </row>
    <row r="908" spans="1:7" x14ac:dyDescent="0.4">
      <c r="B908" t="s">
        <v>166</v>
      </c>
      <c r="C908" t="s">
        <v>128</v>
      </c>
    </row>
    <row r="909" spans="1:7" x14ac:dyDescent="0.4">
      <c r="B909" t="s">
        <v>166</v>
      </c>
      <c r="C909" t="s">
        <v>90</v>
      </c>
    </row>
    <row r="910" spans="1:7" x14ac:dyDescent="0.4">
      <c r="B910" t="s">
        <v>166</v>
      </c>
      <c r="C910" t="s">
        <v>179</v>
      </c>
    </row>
    <row r="911" spans="1:7" x14ac:dyDescent="0.4">
      <c r="B911" t="s">
        <v>166</v>
      </c>
      <c r="C911" t="s">
        <v>22</v>
      </c>
    </row>
    <row r="912" spans="1:7" x14ac:dyDescent="0.4">
      <c r="B912" t="s">
        <v>166</v>
      </c>
      <c r="C912" t="s">
        <v>23</v>
      </c>
    </row>
    <row r="913" spans="1:7" x14ac:dyDescent="0.4">
      <c r="B913" t="s">
        <v>166</v>
      </c>
      <c r="C913" t="s">
        <v>24</v>
      </c>
    </row>
    <row r="914" spans="1:7" x14ac:dyDescent="0.4">
      <c r="B914" t="s">
        <v>166</v>
      </c>
      <c r="C914" t="s">
        <v>25</v>
      </c>
    </row>
    <row r="915" spans="1:7" x14ac:dyDescent="0.4">
      <c r="B915" t="s">
        <v>166</v>
      </c>
      <c r="C915" t="s">
        <v>26</v>
      </c>
    </row>
    <row r="916" spans="1:7" x14ac:dyDescent="0.4">
      <c r="B916" t="s">
        <v>166</v>
      </c>
      <c r="C916" t="s">
        <v>180</v>
      </c>
    </row>
    <row r="917" spans="1:7" x14ac:dyDescent="0.4">
      <c r="A917">
        <v>12.6</v>
      </c>
      <c r="B917" t="s">
        <v>166</v>
      </c>
      <c r="C917" t="s">
        <v>182</v>
      </c>
      <c r="D917">
        <v>1</v>
      </c>
      <c r="E917" t="s">
        <v>15</v>
      </c>
      <c r="F917">
        <v>188805</v>
      </c>
      <c r="G917">
        <v>188805</v>
      </c>
    </row>
    <row r="918" spans="1:7" x14ac:dyDescent="0.4">
      <c r="B918" t="s">
        <v>166</v>
      </c>
      <c r="C918" t="s">
        <v>183</v>
      </c>
    </row>
    <row r="919" spans="1:7" x14ac:dyDescent="0.4">
      <c r="B919" t="s">
        <v>166</v>
      </c>
      <c r="C919" t="s">
        <v>17</v>
      </c>
    </row>
    <row r="920" spans="1:7" x14ac:dyDescent="0.4">
      <c r="B920" t="s">
        <v>166</v>
      </c>
      <c r="C920" t="s">
        <v>18</v>
      </c>
    </row>
    <row r="921" spans="1:7" x14ac:dyDescent="0.4">
      <c r="B921" t="s">
        <v>166</v>
      </c>
      <c r="C921" t="s">
        <v>49</v>
      </c>
    </row>
    <row r="922" spans="1:7" x14ac:dyDescent="0.4">
      <c r="B922" t="s">
        <v>166</v>
      </c>
      <c r="C922" t="s">
        <v>184</v>
      </c>
    </row>
    <row r="923" spans="1:7" x14ac:dyDescent="0.4">
      <c r="B923" t="s">
        <v>166</v>
      </c>
      <c r="C923" t="s">
        <v>185</v>
      </c>
    </row>
    <row r="924" spans="1:7" x14ac:dyDescent="0.4">
      <c r="B924" t="s">
        <v>166</v>
      </c>
      <c r="C924" t="s">
        <v>52</v>
      </c>
    </row>
    <row r="925" spans="1:7" x14ac:dyDescent="0.4">
      <c r="B925" t="s">
        <v>166</v>
      </c>
      <c r="C925" t="s">
        <v>53</v>
      </c>
    </row>
    <row r="926" spans="1:7" x14ac:dyDescent="0.4">
      <c r="B926" t="s">
        <v>166</v>
      </c>
      <c r="C926" t="s">
        <v>130</v>
      </c>
    </row>
    <row r="927" spans="1:7" x14ac:dyDescent="0.4">
      <c r="B927" t="s">
        <v>166</v>
      </c>
      <c r="C927" t="s">
        <v>55</v>
      </c>
    </row>
    <row r="928" spans="1:7" x14ac:dyDescent="0.4">
      <c r="B928" t="s">
        <v>166</v>
      </c>
      <c r="C928" t="s">
        <v>173</v>
      </c>
    </row>
    <row r="929" spans="1:7" x14ac:dyDescent="0.4">
      <c r="B929" t="s">
        <v>166</v>
      </c>
      <c r="C929" t="s">
        <v>186</v>
      </c>
    </row>
    <row r="930" spans="1:7" x14ac:dyDescent="0.4">
      <c r="B930" t="s">
        <v>166</v>
      </c>
      <c r="C930" t="s">
        <v>33</v>
      </c>
    </row>
    <row r="931" spans="1:7" x14ac:dyDescent="0.4">
      <c r="B931" t="s">
        <v>166</v>
      </c>
      <c r="C931" t="s">
        <v>22</v>
      </c>
    </row>
    <row r="932" spans="1:7" x14ac:dyDescent="0.4">
      <c r="B932" t="s">
        <v>166</v>
      </c>
      <c r="C932" t="s">
        <v>34</v>
      </c>
    </row>
    <row r="933" spans="1:7" x14ac:dyDescent="0.4">
      <c r="B933" t="s">
        <v>166</v>
      </c>
      <c r="C933" t="s">
        <v>35</v>
      </c>
    </row>
    <row r="934" spans="1:7" x14ac:dyDescent="0.4">
      <c r="B934" t="s">
        <v>166</v>
      </c>
      <c r="C934" t="s">
        <v>26</v>
      </c>
    </row>
    <row r="935" spans="1:7" x14ac:dyDescent="0.4">
      <c r="B935" t="s">
        <v>166</v>
      </c>
      <c r="C935" t="s">
        <v>66</v>
      </c>
    </row>
    <row r="936" spans="1:7" x14ac:dyDescent="0.4">
      <c r="A936">
        <v>12.7</v>
      </c>
      <c r="B936" t="s">
        <v>166</v>
      </c>
      <c r="C936" t="s">
        <v>187</v>
      </c>
      <c r="D936">
        <v>1</v>
      </c>
      <c r="E936" t="s">
        <v>15</v>
      </c>
      <c r="F936">
        <v>32038</v>
      </c>
      <c r="G936">
        <v>32038</v>
      </c>
    </row>
    <row r="937" spans="1:7" x14ac:dyDescent="0.4">
      <c r="B937" t="s">
        <v>166</v>
      </c>
      <c r="C937" t="s">
        <v>188</v>
      </c>
    </row>
    <row r="938" spans="1:7" x14ac:dyDescent="0.4">
      <c r="B938" t="s">
        <v>166</v>
      </c>
      <c r="C938" t="s">
        <v>17</v>
      </c>
    </row>
    <row r="939" spans="1:7" x14ac:dyDescent="0.4">
      <c r="B939" t="s">
        <v>166</v>
      </c>
      <c r="C939" t="s">
        <v>18</v>
      </c>
    </row>
    <row r="940" spans="1:7" x14ac:dyDescent="0.4">
      <c r="B940" t="s">
        <v>166</v>
      </c>
      <c r="C940" t="s">
        <v>49</v>
      </c>
    </row>
    <row r="941" spans="1:7" x14ac:dyDescent="0.4">
      <c r="B941" t="s">
        <v>166</v>
      </c>
      <c r="C941" t="s">
        <v>52</v>
      </c>
    </row>
    <row r="942" spans="1:7" x14ac:dyDescent="0.4">
      <c r="B942" t="s">
        <v>166</v>
      </c>
      <c r="C942" t="s">
        <v>53</v>
      </c>
    </row>
    <row r="943" spans="1:7" x14ac:dyDescent="0.4">
      <c r="B943" t="s">
        <v>166</v>
      </c>
      <c r="C943" t="s">
        <v>130</v>
      </c>
    </row>
    <row r="944" spans="1:7" x14ac:dyDescent="0.4">
      <c r="B944" t="s">
        <v>166</v>
      </c>
      <c r="C944" t="s">
        <v>131</v>
      </c>
    </row>
    <row r="945" spans="1:7" x14ac:dyDescent="0.4">
      <c r="B945" t="s">
        <v>166</v>
      </c>
      <c r="C945" t="s">
        <v>55</v>
      </c>
    </row>
    <row r="946" spans="1:7" x14ac:dyDescent="0.4">
      <c r="B946" t="s">
        <v>166</v>
      </c>
      <c r="C946" t="s">
        <v>173</v>
      </c>
    </row>
    <row r="947" spans="1:7" x14ac:dyDescent="0.4">
      <c r="B947" t="s">
        <v>166</v>
      </c>
      <c r="C947" t="s">
        <v>25</v>
      </c>
    </row>
    <row r="948" spans="1:7" x14ac:dyDescent="0.4">
      <c r="A948">
        <v>12.8</v>
      </c>
      <c r="B948" t="s">
        <v>166</v>
      </c>
      <c r="C948" t="s">
        <v>59</v>
      </c>
      <c r="D948">
        <v>2</v>
      </c>
      <c r="E948" t="s">
        <v>15</v>
      </c>
      <c r="F948">
        <v>15095</v>
      </c>
      <c r="G948">
        <v>30190</v>
      </c>
    </row>
    <row r="949" spans="1:7" x14ac:dyDescent="0.4">
      <c r="A949">
        <v>13</v>
      </c>
      <c r="B949" t="s">
        <v>166</v>
      </c>
      <c r="C949" t="s">
        <v>194</v>
      </c>
    </row>
    <row r="950" spans="1:7" x14ac:dyDescent="0.4">
      <c r="A950">
        <v>13.1</v>
      </c>
      <c r="B950" t="s">
        <v>166</v>
      </c>
      <c r="C950" t="s">
        <v>195</v>
      </c>
      <c r="D950">
        <v>5</v>
      </c>
      <c r="E950" t="s">
        <v>15</v>
      </c>
      <c r="F950">
        <v>223551</v>
      </c>
      <c r="G950">
        <v>1117755</v>
      </c>
    </row>
    <row r="951" spans="1:7" x14ac:dyDescent="0.4">
      <c r="B951" t="s">
        <v>166</v>
      </c>
      <c r="C951" t="s">
        <v>196</v>
      </c>
    </row>
    <row r="952" spans="1:7" x14ac:dyDescent="0.4">
      <c r="B952" t="s">
        <v>166</v>
      </c>
      <c r="C952" t="s">
        <v>73</v>
      </c>
    </row>
    <row r="953" spans="1:7" x14ac:dyDescent="0.4">
      <c r="B953" t="s">
        <v>166</v>
      </c>
      <c r="C953" t="s">
        <v>74</v>
      </c>
    </row>
    <row r="954" spans="1:7" x14ac:dyDescent="0.4">
      <c r="B954" t="s">
        <v>166</v>
      </c>
      <c r="C954" t="s">
        <v>75</v>
      </c>
    </row>
    <row r="955" spans="1:7" x14ac:dyDescent="0.4">
      <c r="B955" t="s">
        <v>166</v>
      </c>
      <c r="C955" t="s">
        <v>77</v>
      </c>
    </row>
    <row r="956" spans="1:7" x14ac:dyDescent="0.4">
      <c r="B956" t="s">
        <v>166</v>
      </c>
      <c r="C956" t="s">
        <v>78</v>
      </c>
    </row>
    <row r="957" spans="1:7" x14ac:dyDescent="0.4">
      <c r="B957" t="s">
        <v>166</v>
      </c>
      <c r="C957" t="s">
        <v>79</v>
      </c>
    </row>
    <row r="958" spans="1:7" x14ac:dyDescent="0.4">
      <c r="B958" t="s">
        <v>166</v>
      </c>
      <c r="C958" t="s">
        <v>80</v>
      </c>
    </row>
    <row r="959" spans="1:7" x14ac:dyDescent="0.4">
      <c r="B959" t="s">
        <v>166</v>
      </c>
      <c r="C959" t="s">
        <v>81</v>
      </c>
    </row>
    <row r="960" spans="1:7" x14ac:dyDescent="0.4">
      <c r="B960" t="s">
        <v>166</v>
      </c>
      <c r="C960" t="s">
        <v>82</v>
      </c>
    </row>
    <row r="961" spans="1:7" x14ac:dyDescent="0.4">
      <c r="B961" t="s">
        <v>166</v>
      </c>
      <c r="C961" t="s">
        <v>83</v>
      </c>
    </row>
    <row r="962" spans="1:7" x14ac:dyDescent="0.4">
      <c r="B962" t="s">
        <v>166</v>
      </c>
      <c r="C962" t="s">
        <v>86</v>
      </c>
    </row>
    <row r="963" spans="1:7" x14ac:dyDescent="0.4">
      <c r="B963" t="s">
        <v>166</v>
      </c>
      <c r="C963" t="s">
        <v>26</v>
      </c>
    </row>
    <row r="964" spans="1:7" x14ac:dyDescent="0.4">
      <c r="A964">
        <v>13.2</v>
      </c>
      <c r="B964" t="s">
        <v>166</v>
      </c>
      <c r="C964" t="s">
        <v>182</v>
      </c>
      <c r="D964">
        <v>1</v>
      </c>
      <c r="E964" t="s">
        <v>15</v>
      </c>
      <c r="F964">
        <v>196298</v>
      </c>
      <c r="G964">
        <v>196298</v>
      </c>
    </row>
    <row r="965" spans="1:7" x14ac:dyDescent="0.4">
      <c r="B965" t="s">
        <v>166</v>
      </c>
      <c r="C965" t="s">
        <v>197</v>
      </c>
    </row>
    <row r="966" spans="1:7" x14ac:dyDescent="0.4">
      <c r="B966" t="s">
        <v>166</v>
      </c>
      <c r="C966" t="s">
        <v>17</v>
      </c>
    </row>
    <row r="967" spans="1:7" x14ac:dyDescent="0.4">
      <c r="B967" t="s">
        <v>166</v>
      </c>
      <c r="C967" t="s">
        <v>18</v>
      </c>
    </row>
    <row r="968" spans="1:7" x14ac:dyDescent="0.4">
      <c r="B968" t="s">
        <v>166</v>
      </c>
      <c r="C968" t="s">
        <v>49</v>
      </c>
    </row>
    <row r="969" spans="1:7" x14ac:dyDescent="0.4">
      <c r="B969" t="s">
        <v>166</v>
      </c>
      <c r="C969" t="s">
        <v>198</v>
      </c>
    </row>
    <row r="970" spans="1:7" x14ac:dyDescent="0.4">
      <c r="B970" t="s">
        <v>166</v>
      </c>
      <c r="C970" t="s">
        <v>185</v>
      </c>
    </row>
    <row r="971" spans="1:7" x14ac:dyDescent="0.4">
      <c r="B971" t="s">
        <v>166</v>
      </c>
      <c r="C971" t="s">
        <v>163</v>
      </c>
    </row>
    <row r="972" spans="1:7" x14ac:dyDescent="0.4">
      <c r="B972" t="s">
        <v>166</v>
      </c>
      <c r="C972" t="s">
        <v>164</v>
      </c>
    </row>
    <row r="973" spans="1:7" x14ac:dyDescent="0.4">
      <c r="B973" t="s">
        <v>166</v>
      </c>
      <c r="C973" t="s">
        <v>130</v>
      </c>
    </row>
    <row r="974" spans="1:7" x14ac:dyDescent="0.4">
      <c r="B974" t="s">
        <v>166</v>
      </c>
      <c r="C974" t="s">
        <v>55</v>
      </c>
    </row>
    <row r="975" spans="1:7" x14ac:dyDescent="0.4">
      <c r="B975" t="s">
        <v>166</v>
      </c>
      <c r="C975" t="s">
        <v>173</v>
      </c>
    </row>
    <row r="976" spans="1:7" x14ac:dyDescent="0.4">
      <c r="B976" t="s">
        <v>166</v>
      </c>
      <c r="C976" t="s">
        <v>186</v>
      </c>
    </row>
    <row r="977" spans="1:7" x14ac:dyDescent="0.4">
      <c r="B977" t="s">
        <v>166</v>
      </c>
      <c r="C977" t="s">
        <v>33</v>
      </c>
    </row>
    <row r="978" spans="1:7" x14ac:dyDescent="0.4">
      <c r="B978" t="s">
        <v>166</v>
      </c>
      <c r="C978" t="s">
        <v>22</v>
      </c>
    </row>
    <row r="979" spans="1:7" x14ac:dyDescent="0.4">
      <c r="B979" t="s">
        <v>166</v>
      </c>
      <c r="C979" t="s">
        <v>34</v>
      </c>
    </row>
    <row r="980" spans="1:7" x14ac:dyDescent="0.4">
      <c r="B980" t="s">
        <v>166</v>
      </c>
      <c r="C980" t="s">
        <v>35</v>
      </c>
    </row>
    <row r="981" spans="1:7" x14ac:dyDescent="0.4">
      <c r="B981" t="s">
        <v>166</v>
      </c>
      <c r="C981" t="s">
        <v>26</v>
      </c>
    </row>
    <row r="982" spans="1:7" x14ac:dyDescent="0.4">
      <c r="B982" t="s">
        <v>166</v>
      </c>
      <c r="C982" t="s">
        <v>66</v>
      </c>
    </row>
    <row r="983" spans="1:7" x14ac:dyDescent="0.4">
      <c r="A983">
        <v>13.3</v>
      </c>
      <c r="B983" t="s">
        <v>166</v>
      </c>
      <c r="C983" t="s">
        <v>187</v>
      </c>
      <c r="D983">
        <v>1</v>
      </c>
      <c r="E983" t="s">
        <v>15</v>
      </c>
      <c r="F983">
        <v>33134</v>
      </c>
      <c r="G983">
        <v>33134</v>
      </c>
    </row>
    <row r="984" spans="1:7" x14ac:dyDescent="0.4">
      <c r="B984" t="s">
        <v>166</v>
      </c>
      <c r="C984" t="s">
        <v>199</v>
      </c>
    </row>
    <row r="985" spans="1:7" x14ac:dyDescent="0.4">
      <c r="B985" t="s">
        <v>166</v>
      </c>
      <c r="C985" t="s">
        <v>17</v>
      </c>
    </row>
    <row r="986" spans="1:7" x14ac:dyDescent="0.4">
      <c r="B986" t="s">
        <v>166</v>
      </c>
      <c r="C986" t="s">
        <v>18</v>
      </c>
    </row>
    <row r="987" spans="1:7" x14ac:dyDescent="0.4">
      <c r="B987" t="s">
        <v>166</v>
      </c>
      <c r="C987" t="s">
        <v>49</v>
      </c>
    </row>
    <row r="988" spans="1:7" x14ac:dyDescent="0.4">
      <c r="B988" t="s">
        <v>166</v>
      </c>
      <c r="C988" t="s">
        <v>52</v>
      </c>
    </row>
    <row r="989" spans="1:7" x14ac:dyDescent="0.4">
      <c r="B989" t="s">
        <v>166</v>
      </c>
      <c r="C989" t="s">
        <v>53</v>
      </c>
    </row>
    <row r="990" spans="1:7" x14ac:dyDescent="0.4">
      <c r="B990" t="s">
        <v>166</v>
      </c>
      <c r="C990" t="s">
        <v>130</v>
      </c>
    </row>
    <row r="991" spans="1:7" x14ac:dyDescent="0.4">
      <c r="B991" t="s">
        <v>166</v>
      </c>
      <c r="C991" t="s">
        <v>131</v>
      </c>
    </row>
    <row r="992" spans="1:7" x14ac:dyDescent="0.4">
      <c r="B992" t="s">
        <v>166</v>
      </c>
      <c r="C992" t="s">
        <v>55</v>
      </c>
    </row>
    <row r="993" spans="1:7" x14ac:dyDescent="0.4">
      <c r="B993" t="s">
        <v>166</v>
      </c>
      <c r="C993" t="s">
        <v>173</v>
      </c>
    </row>
    <row r="994" spans="1:7" x14ac:dyDescent="0.4">
      <c r="B994" t="s">
        <v>166</v>
      </c>
      <c r="C994" t="s">
        <v>25</v>
      </c>
    </row>
    <row r="995" spans="1:7" x14ac:dyDescent="0.4">
      <c r="A995">
        <v>13.4</v>
      </c>
      <c r="B995" t="s">
        <v>166</v>
      </c>
      <c r="C995" t="s">
        <v>59</v>
      </c>
      <c r="D995">
        <v>2</v>
      </c>
      <c r="E995" t="s">
        <v>15</v>
      </c>
      <c r="F995">
        <v>15095</v>
      </c>
      <c r="G995">
        <v>30190</v>
      </c>
    </row>
    <row r="996" spans="1:7" x14ac:dyDescent="0.4">
      <c r="A996">
        <v>13.5</v>
      </c>
      <c r="B996" t="s">
        <v>166</v>
      </c>
      <c r="C996" t="s">
        <v>98</v>
      </c>
      <c r="D996">
        <v>1</v>
      </c>
      <c r="E996" t="s">
        <v>15</v>
      </c>
      <c r="F996">
        <v>55650</v>
      </c>
      <c r="G996">
        <v>55650</v>
      </c>
    </row>
    <row r="997" spans="1:7" x14ac:dyDescent="0.4">
      <c r="B997" t="s">
        <v>166</v>
      </c>
      <c r="C997" t="s">
        <v>99</v>
      </c>
    </row>
    <row r="998" spans="1:7" x14ac:dyDescent="0.4">
      <c r="A998">
        <v>14</v>
      </c>
      <c r="B998" t="s">
        <v>166</v>
      </c>
      <c r="C998" t="s">
        <v>194</v>
      </c>
    </row>
    <row r="999" spans="1:7" x14ac:dyDescent="0.4">
      <c r="A999">
        <v>14.1</v>
      </c>
      <c r="B999" t="s">
        <v>166</v>
      </c>
      <c r="C999" t="s">
        <v>200</v>
      </c>
      <c r="D999">
        <v>5</v>
      </c>
      <c r="E999" t="s">
        <v>15</v>
      </c>
      <c r="F999">
        <v>234261</v>
      </c>
      <c r="G999">
        <v>1171305</v>
      </c>
    </row>
    <row r="1000" spans="1:7" x14ac:dyDescent="0.4">
      <c r="B1000" t="s">
        <v>166</v>
      </c>
      <c r="C1000" t="s">
        <v>196</v>
      </c>
    </row>
    <row r="1001" spans="1:7" x14ac:dyDescent="0.4">
      <c r="B1001" t="s">
        <v>166</v>
      </c>
      <c r="C1001" t="s">
        <v>73</v>
      </c>
    </row>
    <row r="1002" spans="1:7" x14ac:dyDescent="0.4">
      <c r="B1002" t="s">
        <v>166</v>
      </c>
      <c r="C1002" t="s">
        <v>74</v>
      </c>
    </row>
    <row r="1003" spans="1:7" x14ac:dyDescent="0.4">
      <c r="B1003" t="s">
        <v>166</v>
      </c>
      <c r="C1003" t="s">
        <v>75</v>
      </c>
    </row>
    <row r="1004" spans="1:7" x14ac:dyDescent="0.4">
      <c r="B1004" t="s">
        <v>166</v>
      </c>
      <c r="C1004" t="s">
        <v>77</v>
      </c>
    </row>
    <row r="1005" spans="1:7" x14ac:dyDescent="0.4">
      <c r="B1005" t="s">
        <v>166</v>
      </c>
      <c r="C1005" t="s">
        <v>78</v>
      </c>
    </row>
    <row r="1006" spans="1:7" x14ac:dyDescent="0.4">
      <c r="B1006" t="s">
        <v>166</v>
      </c>
      <c r="C1006" t="s">
        <v>79</v>
      </c>
    </row>
    <row r="1007" spans="1:7" x14ac:dyDescent="0.4">
      <c r="B1007" t="s">
        <v>166</v>
      </c>
      <c r="C1007" t="s">
        <v>80</v>
      </c>
    </row>
    <row r="1008" spans="1:7" x14ac:dyDescent="0.4">
      <c r="B1008" t="s">
        <v>166</v>
      </c>
      <c r="C1008" t="s">
        <v>81</v>
      </c>
    </row>
    <row r="1009" spans="1:7" x14ac:dyDescent="0.4">
      <c r="B1009" t="s">
        <v>166</v>
      </c>
      <c r="C1009" t="s">
        <v>82</v>
      </c>
    </row>
    <row r="1010" spans="1:7" x14ac:dyDescent="0.4">
      <c r="B1010" t="s">
        <v>166</v>
      </c>
      <c r="C1010" t="s">
        <v>83</v>
      </c>
    </row>
    <row r="1011" spans="1:7" x14ac:dyDescent="0.4">
      <c r="B1011" t="s">
        <v>166</v>
      </c>
      <c r="C1011" t="s">
        <v>84</v>
      </c>
    </row>
    <row r="1012" spans="1:7" x14ac:dyDescent="0.4">
      <c r="B1012" t="s">
        <v>166</v>
      </c>
      <c r="C1012" t="s">
        <v>86</v>
      </c>
    </row>
    <row r="1013" spans="1:7" x14ac:dyDescent="0.4">
      <c r="B1013" t="s">
        <v>166</v>
      </c>
      <c r="C1013" t="s">
        <v>125</v>
      </c>
    </row>
    <row r="1014" spans="1:7" x14ac:dyDescent="0.4">
      <c r="B1014" t="s">
        <v>166</v>
      </c>
      <c r="C1014" t="s">
        <v>26</v>
      </c>
    </row>
    <row r="1015" spans="1:7" x14ac:dyDescent="0.4">
      <c r="A1015">
        <v>14.2</v>
      </c>
      <c r="B1015" t="s">
        <v>166</v>
      </c>
      <c r="C1015" t="s">
        <v>182</v>
      </c>
      <c r="D1015">
        <v>1</v>
      </c>
      <c r="E1015" t="s">
        <v>15</v>
      </c>
      <c r="F1015">
        <v>196298</v>
      </c>
      <c r="G1015">
        <v>196298</v>
      </c>
    </row>
    <row r="1016" spans="1:7" x14ac:dyDescent="0.4">
      <c r="B1016" t="s">
        <v>166</v>
      </c>
      <c r="C1016" t="s">
        <v>197</v>
      </c>
    </row>
    <row r="1017" spans="1:7" x14ac:dyDescent="0.4">
      <c r="B1017" t="s">
        <v>166</v>
      </c>
      <c r="C1017" t="s">
        <v>17</v>
      </c>
    </row>
    <row r="1018" spans="1:7" x14ac:dyDescent="0.4">
      <c r="B1018" t="s">
        <v>166</v>
      </c>
      <c r="C1018" t="s">
        <v>18</v>
      </c>
    </row>
    <row r="1019" spans="1:7" x14ac:dyDescent="0.4">
      <c r="B1019" t="s">
        <v>166</v>
      </c>
      <c r="C1019" t="s">
        <v>49</v>
      </c>
    </row>
    <row r="1020" spans="1:7" x14ac:dyDescent="0.4">
      <c r="B1020" t="s">
        <v>166</v>
      </c>
      <c r="C1020" t="s">
        <v>198</v>
      </c>
    </row>
    <row r="1021" spans="1:7" x14ac:dyDescent="0.4">
      <c r="B1021" t="s">
        <v>166</v>
      </c>
      <c r="C1021" t="s">
        <v>185</v>
      </c>
    </row>
    <row r="1022" spans="1:7" x14ac:dyDescent="0.4">
      <c r="B1022" t="s">
        <v>166</v>
      </c>
      <c r="C1022" t="s">
        <v>163</v>
      </c>
    </row>
    <row r="1023" spans="1:7" x14ac:dyDescent="0.4">
      <c r="B1023" t="s">
        <v>166</v>
      </c>
      <c r="C1023" t="s">
        <v>164</v>
      </c>
    </row>
    <row r="1024" spans="1:7" x14ac:dyDescent="0.4">
      <c r="B1024" t="s">
        <v>166</v>
      </c>
      <c r="C1024" t="s">
        <v>130</v>
      </c>
    </row>
    <row r="1025" spans="1:7" x14ac:dyDescent="0.4">
      <c r="B1025" t="s">
        <v>166</v>
      </c>
      <c r="C1025" t="s">
        <v>55</v>
      </c>
    </row>
    <row r="1026" spans="1:7" x14ac:dyDescent="0.4">
      <c r="B1026" t="s">
        <v>166</v>
      </c>
      <c r="C1026" t="s">
        <v>173</v>
      </c>
    </row>
    <row r="1027" spans="1:7" x14ac:dyDescent="0.4">
      <c r="B1027" t="s">
        <v>166</v>
      </c>
      <c r="C1027" t="s">
        <v>186</v>
      </c>
    </row>
    <row r="1028" spans="1:7" x14ac:dyDescent="0.4">
      <c r="B1028" t="s">
        <v>166</v>
      </c>
      <c r="C1028" t="s">
        <v>33</v>
      </c>
    </row>
    <row r="1029" spans="1:7" x14ac:dyDescent="0.4">
      <c r="B1029" t="s">
        <v>166</v>
      </c>
      <c r="C1029" t="s">
        <v>22</v>
      </c>
    </row>
    <row r="1030" spans="1:7" x14ac:dyDescent="0.4">
      <c r="B1030" t="s">
        <v>166</v>
      </c>
      <c r="C1030" t="s">
        <v>34</v>
      </c>
    </row>
    <row r="1031" spans="1:7" x14ac:dyDescent="0.4">
      <c r="B1031" t="s">
        <v>166</v>
      </c>
      <c r="C1031" t="s">
        <v>35</v>
      </c>
    </row>
    <row r="1032" spans="1:7" x14ac:dyDescent="0.4">
      <c r="B1032" t="s">
        <v>166</v>
      </c>
      <c r="C1032" t="s">
        <v>26</v>
      </c>
    </row>
    <row r="1033" spans="1:7" x14ac:dyDescent="0.4">
      <c r="B1033" t="s">
        <v>166</v>
      </c>
      <c r="C1033" t="s">
        <v>66</v>
      </c>
    </row>
    <row r="1034" spans="1:7" x14ac:dyDescent="0.4">
      <c r="A1034">
        <v>14.3</v>
      </c>
      <c r="B1034" t="s">
        <v>166</v>
      </c>
      <c r="C1034" t="s">
        <v>187</v>
      </c>
      <c r="D1034">
        <v>1</v>
      </c>
      <c r="E1034" t="s">
        <v>15</v>
      </c>
      <c r="F1034">
        <v>33134</v>
      </c>
      <c r="G1034">
        <v>33134</v>
      </c>
    </row>
    <row r="1035" spans="1:7" x14ac:dyDescent="0.4">
      <c r="B1035" t="s">
        <v>166</v>
      </c>
      <c r="C1035" t="s">
        <v>199</v>
      </c>
    </row>
    <row r="1036" spans="1:7" x14ac:dyDescent="0.4">
      <c r="B1036" t="s">
        <v>166</v>
      </c>
      <c r="C1036" t="s">
        <v>17</v>
      </c>
    </row>
    <row r="1037" spans="1:7" x14ac:dyDescent="0.4">
      <c r="B1037" t="s">
        <v>166</v>
      </c>
      <c r="C1037" t="s">
        <v>18</v>
      </c>
    </row>
    <row r="1038" spans="1:7" x14ac:dyDescent="0.4">
      <c r="B1038" t="s">
        <v>166</v>
      </c>
      <c r="C1038" t="s">
        <v>49</v>
      </c>
    </row>
    <row r="1039" spans="1:7" x14ac:dyDescent="0.4">
      <c r="B1039" t="s">
        <v>166</v>
      </c>
      <c r="C1039" t="s">
        <v>52</v>
      </c>
    </row>
    <row r="1040" spans="1:7" x14ac:dyDescent="0.4">
      <c r="B1040" t="s">
        <v>166</v>
      </c>
      <c r="C1040" t="s">
        <v>53</v>
      </c>
    </row>
    <row r="1041" spans="1:7" x14ac:dyDescent="0.4">
      <c r="B1041" t="s">
        <v>166</v>
      </c>
      <c r="C1041" t="s">
        <v>130</v>
      </c>
    </row>
    <row r="1042" spans="1:7" x14ac:dyDescent="0.4">
      <c r="B1042" t="s">
        <v>166</v>
      </c>
      <c r="C1042" t="s">
        <v>131</v>
      </c>
    </row>
    <row r="1043" spans="1:7" x14ac:dyDescent="0.4">
      <c r="B1043" t="s">
        <v>166</v>
      </c>
      <c r="C1043" t="s">
        <v>55</v>
      </c>
    </row>
    <row r="1044" spans="1:7" x14ac:dyDescent="0.4">
      <c r="B1044" t="s">
        <v>166</v>
      </c>
      <c r="C1044" t="s">
        <v>173</v>
      </c>
    </row>
    <row r="1045" spans="1:7" x14ac:dyDescent="0.4">
      <c r="B1045" t="s">
        <v>166</v>
      </c>
      <c r="C1045" t="s">
        <v>25</v>
      </c>
    </row>
    <row r="1046" spans="1:7" x14ac:dyDescent="0.4">
      <c r="A1046">
        <v>14.4</v>
      </c>
      <c r="B1046" t="s">
        <v>166</v>
      </c>
      <c r="C1046" t="s">
        <v>59</v>
      </c>
      <c r="D1046">
        <v>2</v>
      </c>
      <c r="E1046" t="s">
        <v>15</v>
      </c>
      <c r="F1046">
        <v>15095</v>
      </c>
      <c r="G1046">
        <v>30190</v>
      </c>
    </row>
    <row r="1047" spans="1:7" x14ac:dyDescent="0.4">
      <c r="A1047">
        <v>14.5</v>
      </c>
      <c r="B1047" t="s">
        <v>166</v>
      </c>
      <c r="C1047" t="s">
        <v>98</v>
      </c>
      <c r="D1047">
        <v>1</v>
      </c>
      <c r="E1047" t="s">
        <v>15</v>
      </c>
      <c r="F1047">
        <v>55650</v>
      </c>
      <c r="G1047">
        <v>55650</v>
      </c>
    </row>
    <row r="1048" spans="1:7" x14ac:dyDescent="0.4">
      <c r="B1048" t="s">
        <v>166</v>
      </c>
      <c r="C1048" t="s">
        <v>99</v>
      </c>
    </row>
    <row r="1049" spans="1:7" x14ac:dyDescent="0.4">
      <c r="C1049" t="s">
        <v>201</v>
      </c>
    </row>
    <row r="1050" spans="1:7" x14ac:dyDescent="0.4">
      <c r="A1050">
        <v>1</v>
      </c>
      <c r="B1050" t="s">
        <v>202</v>
      </c>
      <c r="C1050" t="s">
        <v>203</v>
      </c>
      <c r="D1050">
        <v>4</v>
      </c>
      <c r="E1050" t="s">
        <v>204</v>
      </c>
      <c r="F1050">
        <v>28595</v>
      </c>
      <c r="G1050">
        <v>114380</v>
      </c>
    </row>
    <row r="1051" spans="1:7" x14ac:dyDescent="0.4">
      <c r="B1051" t="s">
        <v>202</v>
      </c>
      <c r="C1051" t="s">
        <v>205</v>
      </c>
    </row>
    <row r="1052" spans="1:7" x14ac:dyDescent="0.4">
      <c r="B1052" t="s">
        <v>202</v>
      </c>
      <c r="C1052" t="s">
        <v>206</v>
      </c>
    </row>
    <row r="1053" spans="1:7" x14ac:dyDescent="0.4">
      <c r="B1053" t="s">
        <v>202</v>
      </c>
      <c r="C1053" t="s">
        <v>207</v>
      </c>
    </row>
    <row r="1054" spans="1:7" x14ac:dyDescent="0.4">
      <c r="B1054" t="s">
        <v>202</v>
      </c>
      <c r="C1054" t="s">
        <v>208</v>
      </c>
    </row>
    <row r="1055" spans="1:7" x14ac:dyDescent="0.4">
      <c r="B1055" t="s">
        <v>202</v>
      </c>
      <c r="C1055" t="s">
        <v>209</v>
      </c>
    </row>
    <row r="1056" spans="1:7" x14ac:dyDescent="0.4">
      <c r="B1056" t="s">
        <v>202</v>
      </c>
      <c r="C1056" t="s">
        <v>210</v>
      </c>
    </row>
    <row r="1057" spans="1:7" x14ac:dyDescent="0.4">
      <c r="A1057">
        <v>2</v>
      </c>
      <c r="B1057" t="s">
        <v>202</v>
      </c>
      <c r="C1057" t="s">
        <v>211</v>
      </c>
      <c r="D1057">
        <v>33</v>
      </c>
      <c r="E1057" t="s">
        <v>204</v>
      </c>
      <c r="F1057">
        <v>20723</v>
      </c>
      <c r="G1057">
        <v>683859</v>
      </c>
    </row>
    <row r="1058" spans="1:7" x14ac:dyDescent="0.4">
      <c r="B1058" t="s">
        <v>202</v>
      </c>
      <c r="C1058" t="s">
        <v>212</v>
      </c>
    </row>
    <row r="1059" spans="1:7" x14ac:dyDescent="0.4">
      <c r="B1059" t="s">
        <v>202</v>
      </c>
      <c r="C1059" t="s">
        <v>213</v>
      </c>
    </row>
    <row r="1060" spans="1:7" x14ac:dyDescent="0.4">
      <c r="B1060" t="s">
        <v>202</v>
      </c>
      <c r="C1060" t="s">
        <v>214</v>
      </c>
    </row>
    <row r="1061" spans="1:7" x14ac:dyDescent="0.4">
      <c r="B1061" t="s">
        <v>202</v>
      </c>
      <c r="C1061" t="s">
        <v>215</v>
      </c>
    </row>
    <row r="1062" spans="1:7" x14ac:dyDescent="0.4">
      <c r="B1062" t="s">
        <v>202</v>
      </c>
      <c r="C1062" t="s">
        <v>216</v>
      </c>
    </row>
    <row r="1063" spans="1:7" x14ac:dyDescent="0.4">
      <c r="B1063" t="s">
        <v>202</v>
      </c>
      <c r="C1063" t="s">
        <v>217</v>
      </c>
    </row>
    <row r="1064" spans="1:7" x14ac:dyDescent="0.4">
      <c r="B1064" t="s">
        <v>202</v>
      </c>
      <c r="C1064" t="s">
        <v>218</v>
      </c>
    </row>
    <row r="1065" spans="1:7" x14ac:dyDescent="0.4">
      <c r="B1065" t="s">
        <v>202</v>
      </c>
      <c r="C1065" t="s">
        <v>219</v>
      </c>
    </row>
    <row r="1066" spans="1:7" x14ac:dyDescent="0.4">
      <c r="B1066" t="s">
        <v>202</v>
      </c>
      <c r="C1066" t="s">
        <v>220</v>
      </c>
    </row>
    <row r="1067" spans="1:7" x14ac:dyDescent="0.4">
      <c r="B1067" t="s">
        <v>202</v>
      </c>
      <c r="C1067" t="s">
        <v>221</v>
      </c>
    </row>
    <row r="1068" spans="1:7" x14ac:dyDescent="0.4">
      <c r="B1068" t="s">
        <v>202</v>
      </c>
      <c r="C1068" t="s">
        <v>222</v>
      </c>
    </row>
    <row r="1069" spans="1:7" x14ac:dyDescent="0.4">
      <c r="B1069" t="s">
        <v>202</v>
      </c>
      <c r="C1069" t="s">
        <v>223</v>
      </c>
    </row>
    <row r="1070" spans="1:7" x14ac:dyDescent="0.4">
      <c r="B1070" t="s">
        <v>202</v>
      </c>
    </row>
    <row r="1071" spans="1:7" x14ac:dyDescent="0.4">
      <c r="A1071">
        <v>3</v>
      </c>
      <c r="B1071" t="s">
        <v>202</v>
      </c>
      <c r="C1071" t="s">
        <v>224</v>
      </c>
      <c r="D1071">
        <v>33</v>
      </c>
      <c r="E1071" t="s">
        <v>204</v>
      </c>
      <c r="F1071">
        <v>5959</v>
      </c>
      <c r="G1071">
        <v>196647</v>
      </c>
    </row>
    <row r="1072" spans="1:7" x14ac:dyDescent="0.4">
      <c r="B1072" t="s">
        <v>202</v>
      </c>
      <c r="C1072" t="s">
        <v>225</v>
      </c>
    </row>
    <row r="1073" spans="1:7" x14ac:dyDescent="0.4">
      <c r="A1073">
        <v>4</v>
      </c>
      <c r="B1073" t="s">
        <v>202</v>
      </c>
      <c r="C1073" t="s">
        <v>226</v>
      </c>
      <c r="D1073">
        <v>4</v>
      </c>
      <c r="E1073" t="s">
        <v>204</v>
      </c>
      <c r="F1073">
        <v>7856</v>
      </c>
      <c r="G1073">
        <v>31424</v>
      </c>
    </row>
    <row r="1074" spans="1:7" x14ac:dyDescent="0.4">
      <c r="B1074" t="s">
        <v>202</v>
      </c>
      <c r="C1074" t="s">
        <v>227</v>
      </c>
    </row>
    <row r="1075" spans="1:7" x14ac:dyDescent="0.4">
      <c r="B1075" t="s">
        <v>202</v>
      </c>
      <c r="C1075" t="s">
        <v>228</v>
      </c>
    </row>
    <row r="1076" spans="1:7" x14ac:dyDescent="0.4">
      <c r="A1076">
        <v>1</v>
      </c>
      <c r="B1076" t="s">
        <v>202</v>
      </c>
      <c r="C1076" t="s">
        <v>203</v>
      </c>
      <c r="D1076">
        <v>8</v>
      </c>
      <c r="E1076" t="s">
        <v>204</v>
      </c>
      <c r="F1076">
        <v>28595</v>
      </c>
      <c r="G1076">
        <v>228760</v>
      </c>
    </row>
    <row r="1077" spans="1:7" x14ac:dyDescent="0.4">
      <c r="B1077" t="s">
        <v>202</v>
      </c>
      <c r="C1077" t="s">
        <v>205</v>
      </c>
    </row>
    <row r="1078" spans="1:7" x14ac:dyDescent="0.4">
      <c r="B1078" t="s">
        <v>202</v>
      </c>
      <c r="C1078" t="s">
        <v>206</v>
      </c>
    </row>
    <row r="1079" spans="1:7" x14ac:dyDescent="0.4">
      <c r="B1079" t="s">
        <v>202</v>
      </c>
      <c r="C1079" t="s">
        <v>207</v>
      </c>
    </row>
    <row r="1080" spans="1:7" x14ac:dyDescent="0.4">
      <c r="B1080" t="s">
        <v>202</v>
      </c>
      <c r="C1080" t="s">
        <v>208</v>
      </c>
    </row>
    <row r="1081" spans="1:7" x14ac:dyDescent="0.4">
      <c r="B1081" t="s">
        <v>202</v>
      </c>
      <c r="C1081" t="s">
        <v>209</v>
      </c>
    </row>
    <row r="1082" spans="1:7" x14ac:dyDescent="0.4">
      <c r="B1082" t="s">
        <v>202</v>
      </c>
      <c r="C1082" t="s">
        <v>210</v>
      </c>
    </row>
    <row r="1083" spans="1:7" x14ac:dyDescent="0.4">
      <c r="A1083">
        <v>2</v>
      </c>
      <c r="B1083" t="s">
        <v>202</v>
      </c>
      <c r="C1083" t="s">
        <v>211</v>
      </c>
      <c r="D1083">
        <v>28</v>
      </c>
      <c r="E1083" t="s">
        <v>204</v>
      </c>
      <c r="F1083">
        <v>20723</v>
      </c>
      <c r="G1083">
        <v>580244</v>
      </c>
    </row>
    <row r="1084" spans="1:7" x14ac:dyDescent="0.4">
      <c r="B1084" t="s">
        <v>202</v>
      </c>
      <c r="C1084" t="s">
        <v>212</v>
      </c>
    </row>
    <row r="1085" spans="1:7" x14ac:dyDescent="0.4">
      <c r="B1085" t="s">
        <v>202</v>
      </c>
      <c r="C1085" t="s">
        <v>213</v>
      </c>
    </row>
    <row r="1086" spans="1:7" x14ac:dyDescent="0.4">
      <c r="B1086" t="s">
        <v>202</v>
      </c>
      <c r="C1086" t="s">
        <v>214</v>
      </c>
    </row>
    <row r="1087" spans="1:7" x14ac:dyDescent="0.4">
      <c r="B1087" t="s">
        <v>202</v>
      </c>
      <c r="C1087" t="s">
        <v>215</v>
      </c>
    </row>
    <row r="1088" spans="1:7" x14ac:dyDescent="0.4">
      <c r="B1088" t="s">
        <v>202</v>
      </c>
      <c r="C1088" t="s">
        <v>216</v>
      </c>
    </row>
    <row r="1089" spans="1:7" x14ac:dyDescent="0.4">
      <c r="B1089" t="s">
        <v>202</v>
      </c>
      <c r="C1089" t="s">
        <v>217</v>
      </c>
    </row>
    <row r="1090" spans="1:7" x14ac:dyDescent="0.4">
      <c r="B1090" t="s">
        <v>202</v>
      </c>
      <c r="C1090" t="s">
        <v>218</v>
      </c>
    </row>
    <row r="1091" spans="1:7" x14ac:dyDescent="0.4">
      <c r="B1091" t="s">
        <v>202</v>
      </c>
      <c r="C1091" t="s">
        <v>219</v>
      </c>
    </row>
    <row r="1092" spans="1:7" x14ac:dyDescent="0.4">
      <c r="B1092" t="s">
        <v>202</v>
      </c>
      <c r="C1092" t="s">
        <v>220</v>
      </c>
    </row>
    <row r="1093" spans="1:7" x14ac:dyDescent="0.4">
      <c r="B1093" t="s">
        <v>202</v>
      </c>
      <c r="C1093" t="s">
        <v>221</v>
      </c>
    </row>
    <row r="1094" spans="1:7" x14ac:dyDescent="0.4">
      <c r="B1094" t="s">
        <v>202</v>
      </c>
      <c r="C1094" t="s">
        <v>222</v>
      </c>
    </row>
    <row r="1095" spans="1:7" x14ac:dyDescent="0.4">
      <c r="B1095" t="s">
        <v>202</v>
      </c>
      <c r="C1095" t="s">
        <v>223</v>
      </c>
    </row>
    <row r="1096" spans="1:7" x14ac:dyDescent="0.4">
      <c r="A1096">
        <v>3</v>
      </c>
      <c r="B1096" t="s">
        <v>202</v>
      </c>
      <c r="C1096" t="s">
        <v>224</v>
      </c>
      <c r="D1096">
        <v>28</v>
      </c>
      <c r="E1096" t="s">
        <v>204</v>
      </c>
      <c r="F1096">
        <v>5959</v>
      </c>
      <c r="G1096">
        <v>166852</v>
      </c>
    </row>
    <row r="1097" spans="1:7" x14ac:dyDescent="0.4">
      <c r="B1097" t="s">
        <v>202</v>
      </c>
      <c r="C1097" t="s">
        <v>225</v>
      </c>
    </row>
    <row r="1098" spans="1:7" x14ac:dyDescent="0.4">
      <c r="A1098">
        <v>4</v>
      </c>
      <c r="B1098" t="s">
        <v>202</v>
      </c>
      <c r="C1098" t="s">
        <v>226</v>
      </c>
      <c r="D1098">
        <v>8</v>
      </c>
      <c r="E1098" t="s">
        <v>204</v>
      </c>
      <c r="F1098">
        <v>7856</v>
      </c>
      <c r="G1098">
        <v>62848</v>
      </c>
    </row>
    <row r="1099" spans="1:7" x14ac:dyDescent="0.4">
      <c r="B1099" t="s">
        <v>202</v>
      </c>
      <c r="C1099" t="s">
        <v>227</v>
      </c>
    </row>
    <row r="1100" spans="1:7" x14ac:dyDescent="0.4">
      <c r="C1100" t="s">
        <v>229</v>
      </c>
    </row>
    <row r="1101" spans="1:7" x14ac:dyDescent="0.4">
      <c r="A1101" t="s">
        <v>230</v>
      </c>
      <c r="B1101" t="s">
        <v>231</v>
      </c>
      <c r="C1101" t="s">
        <v>232</v>
      </c>
    </row>
    <row r="1102" spans="1:7" x14ac:dyDescent="0.4">
      <c r="A1102">
        <v>1</v>
      </c>
      <c r="B1102" t="s">
        <v>231</v>
      </c>
      <c r="C1102" t="s">
        <v>233</v>
      </c>
      <c r="D1102">
        <v>95</v>
      </c>
      <c r="E1102" t="s">
        <v>234</v>
      </c>
      <c r="F1102">
        <v>2783</v>
      </c>
      <c r="G1102">
        <v>264385</v>
      </c>
    </row>
    <row r="1103" spans="1:7" x14ac:dyDescent="0.4">
      <c r="A1103">
        <v>1</v>
      </c>
      <c r="B1103" t="s">
        <v>231</v>
      </c>
      <c r="C1103" t="s">
        <v>235</v>
      </c>
      <c r="D1103">
        <v>13</v>
      </c>
      <c r="E1103" t="s">
        <v>236</v>
      </c>
      <c r="F1103">
        <v>870</v>
      </c>
      <c r="G1103">
        <v>11310</v>
      </c>
    </row>
    <row r="1104" spans="1:7" x14ac:dyDescent="0.4">
      <c r="A1104">
        <v>1</v>
      </c>
      <c r="B1104" t="s">
        <v>231</v>
      </c>
      <c r="C1104" t="s">
        <v>237</v>
      </c>
      <c r="D1104">
        <v>4</v>
      </c>
      <c r="E1104" t="s">
        <v>236</v>
      </c>
      <c r="F1104">
        <v>2715</v>
      </c>
      <c r="G1104">
        <v>10860</v>
      </c>
    </row>
    <row r="1105" spans="1:7" x14ac:dyDescent="0.4">
      <c r="A1105">
        <v>1</v>
      </c>
      <c r="B1105" t="s">
        <v>231</v>
      </c>
      <c r="C1105" t="s">
        <v>238</v>
      </c>
      <c r="D1105">
        <v>2</v>
      </c>
      <c r="E1105" t="s">
        <v>236</v>
      </c>
      <c r="F1105">
        <v>1566</v>
      </c>
      <c r="G1105">
        <v>3132</v>
      </c>
    </row>
    <row r="1106" spans="1:7" x14ac:dyDescent="0.4">
      <c r="A1106">
        <v>1</v>
      </c>
      <c r="B1106" t="s">
        <v>231</v>
      </c>
      <c r="C1106" t="s">
        <v>239</v>
      </c>
      <c r="D1106">
        <v>26</v>
      </c>
      <c r="E1106" t="s">
        <v>240</v>
      </c>
      <c r="F1106">
        <v>495</v>
      </c>
      <c r="G1106">
        <v>12870</v>
      </c>
    </row>
    <row r="1107" spans="1:7" x14ac:dyDescent="0.4">
      <c r="A1107">
        <v>1</v>
      </c>
      <c r="B1107" t="s">
        <v>231</v>
      </c>
      <c r="C1107" t="s">
        <v>241</v>
      </c>
      <c r="D1107">
        <v>8</v>
      </c>
      <c r="E1107" t="s">
        <v>240</v>
      </c>
      <c r="F1107">
        <v>1364</v>
      </c>
      <c r="G1107">
        <v>10912</v>
      </c>
    </row>
    <row r="1108" spans="1:7" x14ac:dyDescent="0.4">
      <c r="A1108">
        <v>1</v>
      </c>
      <c r="B1108" t="s">
        <v>231</v>
      </c>
      <c r="C1108" t="s">
        <v>242</v>
      </c>
      <c r="D1108">
        <v>4</v>
      </c>
      <c r="E1108" t="s">
        <v>240</v>
      </c>
      <c r="F1108">
        <v>1108</v>
      </c>
      <c r="G1108">
        <v>4432</v>
      </c>
    </row>
    <row r="1109" spans="1:7" x14ac:dyDescent="0.4">
      <c r="A1109">
        <v>1</v>
      </c>
      <c r="B1109" t="s">
        <v>231</v>
      </c>
      <c r="C1109" t="s">
        <v>243</v>
      </c>
    </row>
    <row r="1110" spans="1:7" x14ac:dyDescent="0.4">
      <c r="A1110">
        <v>1</v>
      </c>
      <c r="B1110" t="s">
        <v>231</v>
      </c>
      <c r="C1110" t="s">
        <v>244</v>
      </c>
      <c r="D1110">
        <v>1</v>
      </c>
      <c r="E1110" t="s">
        <v>245</v>
      </c>
      <c r="F1110">
        <v>61922</v>
      </c>
      <c r="G1110">
        <v>61922</v>
      </c>
    </row>
    <row r="1111" spans="1:7" x14ac:dyDescent="0.4">
      <c r="A1111">
        <v>1</v>
      </c>
      <c r="B1111" t="s">
        <v>231</v>
      </c>
      <c r="C1111" t="s">
        <v>246</v>
      </c>
    </row>
    <row r="1112" spans="1:7" x14ac:dyDescent="0.4">
      <c r="A1112">
        <v>1</v>
      </c>
      <c r="B1112" t="s">
        <v>231</v>
      </c>
      <c r="C1112" t="s">
        <v>247</v>
      </c>
    </row>
    <row r="1113" spans="1:7" x14ac:dyDescent="0.4">
      <c r="A1113">
        <v>1</v>
      </c>
      <c r="B1113" t="s">
        <v>231</v>
      </c>
      <c r="C1113" t="s">
        <v>248</v>
      </c>
    </row>
    <row r="1114" spans="1:7" x14ac:dyDescent="0.4">
      <c r="A1114">
        <v>1</v>
      </c>
      <c r="B1114" t="s">
        <v>231</v>
      </c>
      <c r="C1114" t="s">
        <v>243</v>
      </c>
    </row>
    <row r="1115" spans="1:7" x14ac:dyDescent="0.4">
      <c r="A1115">
        <v>1</v>
      </c>
      <c r="B1115" t="s">
        <v>231</v>
      </c>
      <c r="C1115" t="s">
        <v>249</v>
      </c>
      <c r="D1115">
        <v>1</v>
      </c>
      <c r="E1115" t="s">
        <v>245</v>
      </c>
      <c r="F1115">
        <v>77924</v>
      </c>
      <c r="G1115">
        <v>77924</v>
      </c>
    </row>
    <row r="1116" spans="1:7" x14ac:dyDescent="0.4">
      <c r="A1116">
        <v>1</v>
      </c>
      <c r="B1116" t="s">
        <v>231</v>
      </c>
      <c r="C1116" t="s">
        <v>246</v>
      </c>
    </row>
    <row r="1117" spans="1:7" x14ac:dyDescent="0.4">
      <c r="A1117">
        <v>1</v>
      </c>
      <c r="B1117" t="s">
        <v>231</v>
      </c>
      <c r="C1117" t="s">
        <v>247</v>
      </c>
    </row>
    <row r="1118" spans="1:7" x14ac:dyDescent="0.4">
      <c r="A1118">
        <v>1</v>
      </c>
      <c r="B1118" t="s">
        <v>231</v>
      </c>
      <c r="C1118" t="s">
        <v>248</v>
      </c>
    </row>
    <row r="1119" spans="1:7" x14ac:dyDescent="0.4">
      <c r="A1119">
        <v>1</v>
      </c>
      <c r="B1119" t="s">
        <v>231</v>
      </c>
      <c r="C1119" t="s">
        <v>243</v>
      </c>
    </row>
    <row r="1120" spans="1:7" x14ac:dyDescent="0.4">
      <c r="A1120">
        <v>1</v>
      </c>
      <c r="B1120" t="s">
        <v>231</v>
      </c>
      <c r="C1120" t="s">
        <v>250</v>
      </c>
      <c r="D1120">
        <v>1</v>
      </c>
      <c r="E1120" t="s">
        <v>245</v>
      </c>
      <c r="F1120">
        <v>50094</v>
      </c>
      <c r="G1120">
        <v>50094</v>
      </c>
    </row>
    <row r="1121" spans="1:7" x14ac:dyDescent="0.4">
      <c r="A1121">
        <v>1</v>
      </c>
      <c r="B1121" t="s">
        <v>231</v>
      </c>
      <c r="C1121" t="s">
        <v>246</v>
      </c>
    </row>
    <row r="1122" spans="1:7" x14ac:dyDescent="0.4">
      <c r="A1122">
        <v>1</v>
      </c>
      <c r="B1122" t="s">
        <v>231</v>
      </c>
      <c r="C1122" t="s">
        <v>247</v>
      </c>
    </row>
    <row r="1123" spans="1:7" x14ac:dyDescent="0.4">
      <c r="A1123">
        <v>1</v>
      </c>
      <c r="B1123" t="s">
        <v>231</v>
      </c>
      <c r="C1123" t="s">
        <v>248</v>
      </c>
    </row>
    <row r="1124" spans="1:7" x14ac:dyDescent="0.4">
      <c r="A1124">
        <v>1</v>
      </c>
      <c r="B1124" t="s">
        <v>231</v>
      </c>
      <c r="C1124" t="s">
        <v>251</v>
      </c>
      <c r="D1124">
        <v>1</v>
      </c>
      <c r="E1124" t="s">
        <v>236</v>
      </c>
      <c r="F1124">
        <v>173938</v>
      </c>
      <c r="G1124">
        <v>173938</v>
      </c>
    </row>
    <row r="1125" spans="1:7" x14ac:dyDescent="0.4">
      <c r="A1125">
        <v>1</v>
      </c>
      <c r="B1125" t="s">
        <v>231</v>
      </c>
      <c r="C1125" t="s">
        <v>252</v>
      </c>
    </row>
    <row r="1126" spans="1:7" x14ac:dyDescent="0.4">
      <c r="A1126">
        <v>1</v>
      </c>
      <c r="B1126" t="s">
        <v>231</v>
      </c>
      <c r="C1126" t="s">
        <v>253</v>
      </c>
      <c r="D1126">
        <v>1</v>
      </c>
      <c r="E1126" t="s">
        <v>236</v>
      </c>
      <c r="F1126">
        <v>208725</v>
      </c>
      <c r="G1126">
        <v>208725</v>
      </c>
    </row>
    <row r="1127" spans="1:7" x14ac:dyDescent="0.4">
      <c r="A1127">
        <v>1</v>
      </c>
      <c r="B1127" t="s">
        <v>231</v>
      </c>
      <c r="C1127" t="s">
        <v>254</v>
      </c>
    </row>
    <row r="1128" spans="1:7" x14ac:dyDescent="0.4">
      <c r="A1128">
        <v>1</v>
      </c>
      <c r="B1128" t="s">
        <v>231</v>
      </c>
      <c r="C1128" t="s">
        <v>255</v>
      </c>
    </row>
    <row r="1129" spans="1:7" x14ac:dyDescent="0.4">
      <c r="A1129">
        <v>1</v>
      </c>
      <c r="B1129" t="s">
        <v>231</v>
      </c>
      <c r="C1129" t="s">
        <v>256</v>
      </c>
      <c r="D1129">
        <v>600</v>
      </c>
      <c r="E1129" t="s">
        <v>234</v>
      </c>
      <c r="F1129">
        <v>2783</v>
      </c>
      <c r="G1129">
        <v>1669800</v>
      </c>
    </row>
    <row r="1130" spans="1:7" x14ac:dyDescent="0.4">
      <c r="A1130">
        <v>1</v>
      </c>
      <c r="B1130" t="s">
        <v>231</v>
      </c>
      <c r="C1130" t="s">
        <v>257</v>
      </c>
      <c r="D1130">
        <v>28</v>
      </c>
      <c r="E1130" t="s">
        <v>236</v>
      </c>
      <c r="F1130">
        <v>870</v>
      </c>
      <c r="G1130">
        <v>24360</v>
      </c>
    </row>
    <row r="1131" spans="1:7" x14ac:dyDescent="0.4">
      <c r="A1131">
        <v>1</v>
      </c>
      <c r="B1131" t="s">
        <v>231</v>
      </c>
      <c r="C1131" t="s">
        <v>237</v>
      </c>
      <c r="D1131">
        <v>34</v>
      </c>
      <c r="E1131" t="s">
        <v>236</v>
      </c>
      <c r="F1131">
        <v>2715</v>
      </c>
      <c r="G1131">
        <v>92310</v>
      </c>
    </row>
    <row r="1132" spans="1:7" x14ac:dyDescent="0.4">
      <c r="A1132">
        <v>1</v>
      </c>
      <c r="B1132" t="s">
        <v>231</v>
      </c>
      <c r="C1132" t="s">
        <v>239</v>
      </c>
      <c r="D1132">
        <v>56</v>
      </c>
      <c r="E1132" t="s">
        <v>240</v>
      </c>
      <c r="F1132">
        <v>495</v>
      </c>
      <c r="G1132">
        <v>27720</v>
      </c>
    </row>
    <row r="1133" spans="1:7" x14ac:dyDescent="0.4">
      <c r="A1133">
        <v>1</v>
      </c>
      <c r="B1133" t="s">
        <v>231</v>
      </c>
      <c r="C1133" t="s">
        <v>241</v>
      </c>
      <c r="D1133">
        <v>68</v>
      </c>
      <c r="E1133" t="s">
        <v>240</v>
      </c>
      <c r="F1133">
        <v>1364</v>
      </c>
      <c r="G1133">
        <v>92752</v>
      </c>
    </row>
    <row r="1134" spans="1:7" x14ac:dyDescent="0.4">
      <c r="A1134">
        <v>1</v>
      </c>
      <c r="B1134" t="s">
        <v>231</v>
      </c>
      <c r="C1134" t="s">
        <v>243</v>
      </c>
    </row>
    <row r="1135" spans="1:7" x14ac:dyDescent="0.4">
      <c r="A1135">
        <v>1</v>
      </c>
      <c r="B1135" t="s">
        <v>231</v>
      </c>
      <c r="C1135" t="s">
        <v>258</v>
      </c>
      <c r="D1135">
        <v>2</v>
      </c>
      <c r="E1135" t="s">
        <v>245</v>
      </c>
      <c r="F1135">
        <v>105754</v>
      </c>
      <c r="G1135">
        <v>211508</v>
      </c>
    </row>
    <row r="1136" spans="1:7" x14ac:dyDescent="0.4">
      <c r="A1136">
        <v>1</v>
      </c>
      <c r="B1136" t="s">
        <v>231</v>
      </c>
      <c r="C1136" t="s">
        <v>246</v>
      </c>
    </row>
    <row r="1137" spans="1:7" x14ac:dyDescent="0.4">
      <c r="A1137">
        <v>1</v>
      </c>
      <c r="B1137" t="s">
        <v>231</v>
      </c>
      <c r="C1137" t="s">
        <v>247</v>
      </c>
    </row>
    <row r="1138" spans="1:7" x14ac:dyDescent="0.4">
      <c r="A1138">
        <v>1</v>
      </c>
      <c r="B1138" t="s">
        <v>231</v>
      </c>
      <c r="C1138" t="s">
        <v>248</v>
      </c>
    </row>
    <row r="1139" spans="1:7" x14ac:dyDescent="0.4">
      <c r="A1139">
        <v>1</v>
      </c>
      <c r="B1139" t="s">
        <v>231</v>
      </c>
      <c r="C1139" t="s">
        <v>243</v>
      </c>
    </row>
    <row r="1140" spans="1:7" x14ac:dyDescent="0.4">
      <c r="A1140">
        <v>1</v>
      </c>
      <c r="B1140" t="s">
        <v>231</v>
      </c>
      <c r="C1140" t="s">
        <v>259</v>
      </c>
      <c r="D1140">
        <v>6</v>
      </c>
      <c r="E1140" t="s">
        <v>245</v>
      </c>
      <c r="F1140">
        <v>77924</v>
      </c>
      <c r="G1140">
        <v>467544</v>
      </c>
    </row>
    <row r="1141" spans="1:7" x14ac:dyDescent="0.4">
      <c r="A1141">
        <v>1</v>
      </c>
      <c r="B1141" t="s">
        <v>231</v>
      </c>
      <c r="C1141" t="s">
        <v>246</v>
      </c>
    </row>
    <row r="1142" spans="1:7" x14ac:dyDescent="0.4">
      <c r="A1142">
        <v>1</v>
      </c>
      <c r="B1142" t="s">
        <v>231</v>
      </c>
      <c r="C1142" t="s">
        <v>247</v>
      </c>
    </row>
    <row r="1143" spans="1:7" x14ac:dyDescent="0.4">
      <c r="A1143">
        <v>1</v>
      </c>
      <c r="B1143" t="s">
        <v>231</v>
      </c>
      <c r="C1143" t="s">
        <v>248</v>
      </c>
    </row>
    <row r="1144" spans="1:7" x14ac:dyDescent="0.4">
      <c r="A1144">
        <v>1</v>
      </c>
      <c r="B1144" t="s">
        <v>231</v>
      </c>
      <c r="C1144" t="s">
        <v>243</v>
      </c>
    </row>
    <row r="1145" spans="1:7" x14ac:dyDescent="0.4">
      <c r="A1145">
        <v>1</v>
      </c>
      <c r="B1145" t="s">
        <v>231</v>
      </c>
      <c r="C1145" t="s">
        <v>260</v>
      </c>
      <c r="D1145">
        <v>1</v>
      </c>
      <c r="E1145" t="s">
        <v>245</v>
      </c>
      <c r="F1145">
        <v>50094</v>
      </c>
      <c r="G1145">
        <v>50094</v>
      </c>
    </row>
    <row r="1146" spans="1:7" x14ac:dyDescent="0.4">
      <c r="A1146">
        <v>1</v>
      </c>
      <c r="B1146" t="s">
        <v>231</v>
      </c>
      <c r="C1146" t="s">
        <v>246</v>
      </c>
    </row>
    <row r="1147" spans="1:7" x14ac:dyDescent="0.4">
      <c r="A1147">
        <v>1</v>
      </c>
      <c r="B1147" t="s">
        <v>231</v>
      </c>
      <c r="C1147" t="s">
        <v>247</v>
      </c>
    </row>
    <row r="1148" spans="1:7" x14ac:dyDescent="0.4">
      <c r="A1148">
        <v>1</v>
      </c>
      <c r="B1148" t="s">
        <v>231</v>
      </c>
      <c r="C1148" t="s">
        <v>248</v>
      </c>
    </row>
    <row r="1149" spans="1:7" x14ac:dyDescent="0.4">
      <c r="A1149">
        <v>1</v>
      </c>
      <c r="B1149" t="s">
        <v>231</v>
      </c>
      <c r="C1149" t="s">
        <v>261</v>
      </c>
      <c r="D1149">
        <v>2</v>
      </c>
      <c r="E1149" t="s">
        <v>236</v>
      </c>
      <c r="F1149">
        <v>229598</v>
      </c>
      <c r="G1149">
        <v>459196</v>
      </c>
    </row>
    <row r="1150" spans="1:7" x14ac:dyDescent="0.4">
      <c r="A1150">
        <v>1</v>
      </c>
      <c r="B1150" t="s">
        <v>231</v>
      </c>
      <c r="C1150" t="s">
        <v>262</v>
      </c>
    </row>
    <row r="1151" spans="1:7" x14ac:dyDescent="0.4">
      <c r="A1151">
        <v>1</v>
      </c>
      <c r="B1151" t="s">
        <v>231</v>
      </c>
      <c r="C1151" t="s">
        <v>263</v>
      </c>
      <c r="D1151">
        <v>6</v>
      </c>
      <c r="E1151" t="s">
        <v>236</v>
      </c>
      <c r="F1151">
        <v>215683</v>
      </c>
      <c r="G1151">
        <v>1294098</v>
      </c>
    </row>
    <row r="1152" spans="1:7" x14ac:dyDescent="0.4">
      <c r="A1152">
        <v>1</v>
      </c>
      <c r="B1152" t="s">
        <v>231</v>
      </c>
      <c r="C1152" t="s">
        <v>264</v>
      </c>
    </row>
    <row r="1153" spans="1:7" x14ac:dyDescent="0.4">
      <c r="A1153">
        <v>1</v>
      </c>
      <c r="B1153" t="s">
        <v>231</v>
      </c>
      <c r="C1153" t="s">
        <v>265</v>
      </c>
      <c r="D1153">
        <v>1</v>
      </c>
      <c r="E1153" t="s">
        <v>236</v>
      </c>
      <c r="F1153">
        <v>168594</v>
      </c>
      <c r="G1153">
        <v>168594</v>
      </c>
    </row>
    <row r="1154" spans="1:7" x14ac:dyDescent="0.4">
      <c r="A1154">
        <v>1</v>
      </c>
      <c r="B1154" t="s">
        <v>231</v>
      </c>
      <c r="C1154" t="s">
        <v>266</v>
      </c>
    </row>
    <row r="1155" spans="1:7" x14ac:dyDescent="0.4">
      <c r="C1155" t="s">
        <v>267</v>
      </c>
    </row>
    <row r="1156" spans="1:7" x14ac:dyDescent="0.4">
      <c r="A1156" t="s">
        <v>268</v>
      </c>
      <c r="B1156" t="s">
        <v>269</v>
      </c>
      <c r="C1156" t="s">
        <v>270</v>
      </c>
    </row>
    <row r="1157" spans="1:7" x14ac:dyDescent="0.4">
      <c r="A1157">
        <v>1</v>
      </c>
      <c r="B1157" t="s">
        <v>269</v>
      </c>
      <c r="C1157" t="s">
        <v>271</v>
      </c>
      <c r="D1157">
        <v>2</v>
      </c>
      <c r="E1157" t="s">
        <v>272</v>
      </c>
      <c r="F1157">
        <v>32331</v>
      </c>
      <c r="G1157">
        <v>64662</v>
      </c>
    </row>
    <row r="1158" spans="1:7" x14ac:dyDescent="0.4">
      <c r="A1158">
        <v>2</v>
      </c>
      <c r="B1158" t="s">
        <v>269</v>
      </c>
      <c r="C1158" t="s">
        <v>273</v>
      </c>
      <c r="D1158">
        <v>8</v>
      </c>
      <c r="E1158" t="s">
        <v>272</v>
      </c>
      <c r="F1158">
        <v>10881</v>
      </c>
      <c r="G1158">
        <v>87048</v>
      </c>
    </row>
    <row r="1159" spans="1:7" x14ac:dyDescent="0.4">
      <c r="A1159">
        <v>3</v>
      </c>
      <c r="B1159" t="s">
        <v>269</v>
      </c>
      <c r="C1159" t="s">
        <v>274</v>
      </c>
      <c r="D1159">
        <v>8</v>
      </c>
      <c r="E1159" t="s">
        <v>204</v>
      </c>
      <c r="F1159">
        <v>5031</v>
      </c>
      <c r="G1159">
        <v>40248</v>
      </c>
    </row>
    <row r="1160" spans="1:7" x14ac:dyDescent="0.4">
      <c r="A1160">
        <v>4</v>
      </c>
      <c r="B1160" t="s">
        <v>269</v>
      </c>
      <c r="C1160" t="s">
        <v>275</v>
      </c>
      <c r="D1160">
        <v>8</v>
      </c>
      <c r="E1160" t="s">
        <v>204</v>
      </c>
      <c r="F1160">
        <v>1196</v>
      </c>
      <c r="G1160">
        <v>9568</v>
      </c>
    </row>
    <row r="1161" spans="1:7" x14ac:dyDescent="0.4">
      <c r="A1161">
        <v>5</v>
      </c>
      <c r="B1161" t="s">
        <v>269</v>
      </c>
      <c r="C1161" t="s">
        <v>276</v>
      </c>
      <c r="D1161">
        <v>600</v>
      </c>
      <c r="E1161" t="s">
        <v>240</v>
      </c>
      <c r="F1161">
        <v>82</v>
      </c>
      <c r="G1161">
        <v>49200</v>
      </c>
    </row>
    <row r="1162" spans="1:7" x14ac:dyDescent="0.4">
      <c r="A1162">
        <v>6</v>
      </c>
      <c r="B1162" t="s">
        <v>269</v>
      </c>
      <c r="C1162" t="s">
        <v>277</v>
      </c>
      <c r="D1162">
        <v>250</v>
      </c>
      <c r="E1162" t="s">
        <v>204</v>
      </c>
      <c r="F1162">
        <v>62</v>
      </c>
      <c r="G1162">
        <v>15500</v>
      </c>
    </row>
    <row r="1163" spans="1:7" x14ac:dyDescent="0.4">
      <c r="A1163">
        <v>7</v>
      </c>
      <c r="B1163" t="s">
        <v>269</v>
      </c>
      <c r="C1163" t="s">
        <v>278</v>
      </c>
      <c r="D1163">
        <v>32</v>
      </c>
      <c r="E1163" t="s">
        <v>204</v>
      </c>
      <c r="F1163">
        <v>351</v>
      </c>
      <c r="G1163">
        <v>11232</v>
      </c>
    </row>
    <row r="1164" spans="1:7" x14ac:dyDescent="0.4">
      <c r="A1164">
        <v>8</v>
      </c>
      <c r="B1164" t="s">
        <v>269</v>
      </c>
      <c r="C1164" t="s">
        <v>279</v>
      </c>
      <c r="D1164">
        <v>8</v>
      </c>
      <c r="E1164" t="s">
        <v>204</v>
      </c>
      <c r="F1164">
        <v>351</v>
      </c>
      <c r="G1164">
        <v>2808</v>
      </c>
    </row>
    <row r="1165" spans="1:7" x14ac:dyDescent="0.4">
      <c r="A1165">
        <v>9</v>
      </c>
      <c r="B1165" t="s">
        <v>269</v>
      </c>
      <c r="C1165" t="s">
        <v>280</v>
      </c>
      <c r="D1165">
        <v>8</v>
      </c>
      <c r="E1165" t="s">
        <v>204</v>
      </c>
      <c r="F1165">
        <v>5031</v>
      </c>
      <c r="G1165">
        <v>40248</v>
      </c>
    </row>
    <row r="1166" spans="1:7" x14ac:dyDescent="0.4">
      <c r="A1166">
        <v>10</v>
      </c>
      <c r="B1166" t="s">
        <v>269</v>
      </c>
      <c r="C1166" t="s">
        <v>281</v>
      </c>
      <c r="D1166">
        <v>8</v>
      </c>
      <c r="E1166" t="s">
        <v>204</v>
      </c>
      <c r="F1166">
        <v>5031</v>
      </c>
      <c r="G1166">
        <v>40248</v>
      </c>
    </row>
    <row r="1167" spans="1:7" x14ac:dyDescent="0.4">
      <c r="A1167">
        <v>11</v>
      </c>
      <c r="B1167" t="s">
        <v>269</v>
      </c>
      <c r="C1167" t="s">
        <v>282</v>
      </c>
      <c r="D1167">
        <v>16</v>
      </c>
      <c r="E1167" t="s">
        <v>204</v>
      </c>
      <c r="F1167">
        <v>1261</v>
      </c>
      <c r="G1167">
        <v>20176</v>
      </c>
    </row>
    <row r="1168" spans="1:7" x14ac:dyDescent="0.4">
      <c r="A1168">
        <v>12</v>
      </c>
      <c r="B1168" t="s">
        <v>269</v>
      </c>
      <c r="C1168" t="s">
        <v>283</v>
      </c>
      <c r="D1168">
        <v>16</v>
      </c>
      <c r="E1168" t="s">
        <v>204</v>
      </c>
      <c r="F1168">
        <v>611</v>
      </c>
      <c r="G1168">
        <v>9776</v>
      </c>
    </row>
    <row r="1169" spans="1:7" x14ac:dyDescent="0.4">
      <c r="A1169">
        <v>13</v>
      </c>
      <c r="B1169" t="s">
        <v>269</v>
      </c>
      <c r="C1169" t="s">
        <v>284</v>
      </c>
      <c r="D1169">
        <v>120</v>
      </c>
      <c r="E1169" t="s">
        <v>285</v>
      </c>
      <c r="F1169">
        <v>160</v>
      </c>
      <c r="G1169">
        <v>19200</v>
      </c>
    </row>
    <row r="1170" spans="1:7" x14ac:dyDescent="0.4">
      <c r="A1170">
        <v>2</v>
      </c>
      <c r="B1170" t="s">
        <v>269</v>
      </c>
      <c r="C1170" t="s">
        <v>286</v>
      </c>
    </row>
    <row r="1171" spans="1:7" x14ac:dyDescent="0.4">
      <c r="A1171">
        <v>1</v>
      </c>
      <c r="B1171" t="s">
        <v>269</v>
      </c>
      <c r="C1171" t="s">
        <v>287</v>
      </c>
      <c r="D1171">
        <v>1</v>
      </c>
      <c r="E1171" t="s">
        <v>204</v>
      </c>
      <c r="F1171">
        <v>351</v>
      </c>
      <c r="G1171">
        <v>351</v>
      </c>
    </row>
    <row r="1172" spans="1:7" x14ac:dyDescent="0.4">
      <c r="A1172">
        <v>2</v>
      </c>
      <c r="B1172" t="s">
        <v>269</v>
      </c>
      <c r="C1172" t="s">
        <v>288</v>
      </c>
      <c r="D1172">
        <v>1</v>
      </c>
      <c r="E1172" t="s">
        <v>204</v>
      </c>
      <c r="F1172">
        <v>11409</v>
      </c>
      <c r="G1172">
        <v>11409</v>
      </c>
    </row>
    <row r="1173" spans="1:7" x14ac:dyDescent="0.4">
      <c r="A1173">
        <v>3</v>
      </c>
      <c r="B1173" t="s">
        <v>269</v>
      </c>
      <c r="C1173" t="s">
        <v>289</v>
      </c>
      <c r="D1173">
        <v>1</v>
      </c>
      <c r="E1173" t="s">
        <v>204</v>
      </c>
      <c r="F1173">
        <v>1131</v>
      </c>
      <c r="G1173">
        <v>1131</v>
      </c>
    </row>
    <row r="1174" spans="1:7" x14ac:dyDescent="0.4">
      <c r="A1174">
        <v>4</v>
      </c>
      <c r="B1174" t="s">
        <v>269</v>
      </c>
      <c r="C1174" t="s">
        <v>290</v>
      </c>
      <c r="D1174">
        <v>1</v>
      </c>
      <c r="E1174" t="s">
        <v>204</v>
      </c>
      <c r="F1174">
        <v>351</v>
      </c>
      <c r="G1174">
        <v>351</v>
      </c>
    </row>
    <row r="1175" spans="1:7" x14ac:dyDescent="0.4">
      <c r="A1175">
        <v>5</v>
      </c>
      <c r="B1175" t="s">
        <v>269</v>
      </c>
      <c r="C1175" t="s">
        <v>291</v>
      </c>
      <c r="D1175">
        <v>1</v>
      </c>
      <c r="E1175" t="s">
        <v>204</v>
      </c>
      <c r="F1175">
        <v>5031</v>
      </c>
      <c r="G1175">
        <v>5031</v>
      </c>
    </row>
    <row r="1176" spans="1:7" x14ac:dyDescent="0.4">
      <c r="A1176">
        <v>6</v>
      </c>
      <c r="B1176" t="s">
        <v>269</v>
      </c>
      <c r="C1176" t="s">
        <v>292</v>
      </c>
      <c r="D1176">
        <v>1</v>
      </c>
      <c r="E1176" t="s">
        <v>204</v>
      </c>
      <c r="F1176">
        <v>5031</v>
      </c>
      <c r="G1176">
        <v>5031</v>
      </c>
    </row>
    <row r="1177" spans="1:7" x14ac:dyDescent="0.4">
      <c r="A1177">
        <v>7</v>
      </c>
      <c r="B1177" t="s">
        <v>269</v>
      </c>
      <c r="C1177" t="s">
        <v>293</v>
      </c>
      <c r="D1177">
        <v>2</v>
      </c>
      <c r="E1177" t="s">
        <v>204</v>
      </c>
      <c r="F1177">
        <v>1261</v>
      </c>
      <c r="G1177">
        <v>2522</v>
      </c>
    </row>
    <row r="1178" spans="1:7" x14ac:dyDescent="0.4">
      <c r="A1178">
        <v>8</v>
      </c>
      <c r="B1178" t="s">
        <v>269</v>
      </c>
      <c r="C1178" t="s">
        <v>294</v>
      </c>
      <c r="D1178">
        <v>2</v>
      </c>
      <c r="E1178" t="s">
        <v>204</v>
      </c>
      <c r="F1178">
        <v>611</v>
      </c>
      <c r="G1178">
        <v>1222</v>
      </c>
    </row>
    <row r="1179" spans="1:7" x14ac:dyDescent="0.4">
      <c r="A1179">
        <v>9</v>
      </c>
      <c r="B1179" t="s">
        <v>269</v>
      </c>
      <c r="C1179" t="s">
        <v>295</v>
      </c>
      <c r="D1179">
        <v>1</v>
      </c>
      <c r="E1179" t="s">
        <v>204</v>
      </c>
      <c r="F1179">
        <v>4381</v>
      </c>
      <c r="G1179">
        <v>4381</v>
      </c>
    </row>
    <row r="1180" spans="1:7" x14ac:dyDescent="0.4">
      <c r="A1180">
        <v>10</v>
      </c>
      <c r="B1180" t="s">
        <v>269</v>
      </c>
      <c r="C1180" t="s">
        <v>296</v>
      </c>
      <c r="D1180">
        <v>50</v>
      </c>
      <c r="E1180" t="s">
        <v>297</v>
      </c>
      <c r="F1180">
        <v>82</v>
      </c>
      <c r="G1180">
        <v>4100</v>
      </c>
    </row>
    <row r="1181" spans="1:7" x14ac:dyDescent="0.4">
      <c r="A1181">
        <v>11</v>
      </c>
      <c r="B1181" t="s">
        <v>269</v>
      </c>
      <c r="C1181" t="s">
        <v>284</v>
      </c>
      <c r="D1181">
        <v>32</v>
      </c>
      <c r="E1181" t="s">
        <v>285</v>
      </c>
      <c r="F1181">
        <v>160</v>
      </c>
      <c r="G1181">
        <v>5120</v>
      </c>
    </row>
    <row r="1182" spans="1:7" x14ac:dyDescent="0.4">
      <c r="A1182">
        <v>4</v>
      </c>
      <c r="B1182" t="s">
        <v>269</v>
      </c>
      <c r="C1182" t="s">
        <v>298</v>
      </c>
      <c r="D1182">
        <v>1</v>
      </c>
      <c r="E1182" t="s">
        <v>299</v>
      </c>
      <c r="F1182">
        <v>706800</v>
      </c>
      <c r="G1182">
        <v>706800</v>
      </c>
    </row>
    <row r="1183" spans="1:7" x14ac:dyDescent="0.4">
      <c r="B1183" t="s">
        <v>269</v>
      </c>
      <c r="C1183" t="s">
        <v>300</v>
      </c>
    </row>
    <row r="1184" spans="1:7" x14ac:dyDescent="0.4">
      <c r="A1184">
        <v>5</v>
      </c>
      <c r="B1184" t="s">
        <v>269</v>
      </c>
      <c r="C1184" t="s">
        <v>301</v>
      </c>
      <c r="D1184">
        <v>1</v>
      </c>
      <c r="E1184" t="s">
        <v>299</v>
      </c>
      <c r="F1184">
        <v>706800</v>
      </c>
      <c r="G1184">
        <v>706800</v>
      </c>
    </row>
    <row r="1185" spans="1:7" x14ac:dyDescent="0.4">
      <c r="B1185" t="s">
        <v>269</v>
      </c>
      <c r="C1185" t="s">
        <v>302</v>
      </c>
    </row>
    <row r="1186" spans="1:7" x14ac:dyDescent="0.4">
      <c r="A1186">
        <v>6</v>
      </c>
      <c r="B1186" t="s">
        <v>269</v>
      </c>
      <c r="C1186" t="s">
        <v>303</v>
      </c>
      <c r="D1186">
        <v>1</v>
      </c>
      <c r="E1186" t="s">
        <v>299</v>
      </c>
      <c r="F1186">
        <v>1071600</v>
      </c>
      <c r="G1186">
        <v>1071600</v>
      </c>
    </row>
    <row r="1187" spans="1:7" x14ac:dyDescent="0.4">
      <c r="B1187" t="s">
        <v>269</v>
      </c>
      <c r="C1187" t="s">
        <v>304</v>
      </c>
    </row>
    <row r="1188" spans="1:7" x14ac:dyDescent="0.4">
      <c r="A1188">
        <v>7</v>
      </c>
      <c r="B1188" t="s">
        <v>269</v>
      </c>
      <c r="C1188" t="s">
        <v>305</v>
      </c>
      <c r="D1188">
        <v>1</v>
      </c>
      <c r="E1188" t="s">
        <v>299</v>
      </c>
      <c r="F1188">
        <v>529200</v>
      </c>
      <c r="G1188">
        <v>529200</v>
      </c>
    </row>
    <row r="1189" spans="1:7" x14ac:dyDescent="0.4">
      <c r="B1189" t="s">
        <v>269</v>
      </c>
      <c r="C1189" t="s">
        <v>306</v>
      </c>
    </row>
    <row r="1190" spans="1:7" x14ac:dyDescent="0.4">
      <c r="A1190">
        <v>8</v>
      </c>
      <c r="B1190" t="s">
        <v>269</v>
      </c>
      <c r="C1190" t="s">
        <v>307</v>
      </c>
      <c r="D1190">
        <v>1</v>
      </c>
      <c r="E1190" t="s">
        <v>299</v>
      </c>
      <c r="F1190">
        <v>224400</v>
      </c>
      <c r="G1190">
        <v>224400</v>
      </c>
    </row>
    <row r="1191" spans="1:7" x14ac:dyDescent="0.4">
      <c r="B1191" t="s">
        <v>269</v>
      </c>
      <c r="C1191" t="s">
        <v>308</v>
      </c>
    </row>
    <row r="1192" spans="1:7" x14ac:dyDescent="0.4">
      <c r="B1192" t="s">
        <v>269</v>
      </c>
      <c r="C1192" t="s">
        <v>309</v>
      </c>
    </row>
    <row r="1193" spans="1:7" x14ac:dyDescent="0.4">
      <c r="B1193" t="s">
        <v>269</v>
      </c>
      <c r="C1193" t="s">
        <v>310</v>
      </c>
    </row>
    <row r="1194" spans="1:7" x14ac:dyDescent="0.4">
      <c r="B1194" t="s">
        <v>269</v>
      </c>
      <c r="C1194" t="s">
        <v>311</v>
      </c>
    </row>
    <row r="1195" spans="1:7" x14ac:dyDescent="0.4">
      <c r="B1195" t="s">
        <v>269</v>
      </c>
      <c r="C1195" t="s">
        <v>312</v>
      </c>
    </row>
    <row r="1196" spans="1:7" x14ac:dyDescent="0.4">
      <c r="C1196" t="s">
        <v>313</v>
      </c>
    </row>
    <row r="1197" spans="1:7" x14ac:dyDescent="0.4">
      <c r="A1197">
        <v>1</v>
      </c>
      <c r="B1197" t="s">
        <v>314</v>
      </c>
      <c r="C1197" t="s">
        <v>315</v>
      </c>
    </row>
    <row r="1198" spans="1:7" x14ac:dyDescent="0.4">
      <c r="A1198" t="s">
        <v>316</v>
      </c>
      <c r="B1198" t="s">
        <v>314</v>
      </c>
      <c r="C1198" t="s">
        <v>317</v>
      </c>
      <c r="D1198">
        <v>150</v>
      </c>
      <c r="F1198">
        <v>1680</v>
      </c>
      <c r="G1198">
        <v>252000</v>
      </c>
    </row>
    <row r="1199" spans="1:7" x14ac:dyDescent="0.4">
      <c r="A1199" t="s">
        <v>318</v>
      </c>
      <c r="B1199" t="s">
        <v>314</v>
      </c>
      <c r="C1199" t="s">
        <v>319</v>
      </c>
      <c r="D1199">
        <v>120</v>
      </c>
      <c r="F1199">
        <v>1440</v>
      </c>
      <c r="G1199">
        <v>172800</v>
      </c>
    </row>
    <row r="1200" spans="1:7" x14ac:dyDescent="0.4">
      <c r="A1200" t="s">
        <v>320</v>
      </c>
      <c r="B1200" t="s">
        <v>314</v>
      </c>
      <c r="C1200" t="s">
        <v>321</v>
      </c>
      <c r="D1200">
        <v>170</v>
      </c>
      <c r="F1200">
        <v>1068</v>
      </c>
      <c r="G1200">
        <v>181560</v>
      </c>
    </row>
    <row r="1201" spans="1:7" x14ac:dyDescent="0.4">
      <c r="A1201">
        <v>2</v>
      </c>
      <c r="B1201" t="s">
        <v>314</v>
      </c>
      <c r="C1201" t="s">
        <v>322</v>
      </c>
      <c r="D1201">
        <v>3</v>
      </c>
      <c r="E1201" t="s">
        <v>204</v>
      </c>
      <c r="F1201">
        <v>990</v>
      </c>
      <c r="G1201">
        <v>2970</v>
      </c>
    </row>
    <row r="1202" spans="1:7" x14ac:dyDescent="0.4">
      <c r="A1202">
        <v>3</v>
      </c>
      <c r="B1202" t="s">
        <v>314</v>
      </c>
      <c r="C1202" t="s">
        <v>323</v>
      </c>
      <c r="D1202">
        <v>23</v>
      </c>
      <c r="E1202" t="s">
        <v>204</v>
      </c>
      <c r="F1202">
        <v>792</v>
      </c>
      <c r="G1202">
        <v>18216</v>
      </c>
    </row>
    <row r="1203" spans="1:7" x14ac:dyDescent="0.4">
      <c r="A1203">
        <v>4</v>
      </c>
      <c r="B1203" t="s">
        <v>314</v>
      </c>
      <c r="C1203" t="s">
        <v>324</v>
      </c>
      <c r="D1203">
        <v>8</v>
      </c>
      <c r="F1203">
        <v>9900</v>
      </c>
      <c r="G1203">
        <v>79200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PO4Upload">
                <anchor moveWithCells="1" sizeWithCells="1">
                  <from>
                    <xdr:col>7</xdr:col>
                    <xdr:colOff>0</xdr:colOff>
                    <xdr:row>0</xdr:row>
                    <xdr:rowOff>16329</xdr:rowOff>
                  </from>
                  <to>
                    <xdr:col>8</xdr:col>
                    <xdr:colOff>620486</xdr:colOff>
                    <xdr:row>0</xdr:row>
                    <xdr:rowOff>288471</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0D68FD-0123-4496-8B97-0264685348DE}">
  <dimension ref="A1:K165"/>
  <sheetViews>
    <sheetView workbookViewId="0"/>
  </sheetViews>
  <sheetFormatPr defaultRowHeight="14.6" x14ac:dyDescent="0.4"/>
  <cols>
    <col min="1" max="1" width="8.69140625" style="7" customWidth="1"/>
    <col min="2" max="2" width="10.69140625" style="7" customWidth="1"/>
    <col min="3" max="3" width="20.69140625" style="7" customWidth="1"/>
    <col min="4" max="4" width="40.69140625" style="7" customWidth="1"/>
    <col min="5" max="5" width="30.69140625" style="7" customWidth="1"/>
    <col min="6" max="7" width="8.69140625" style="7" customWidth="1"/>
    <col min="8" max="11" width="12.69140625" style="8" customWidth="1"/>
  </cols>
  <sheetData>
    <row r="1" spans="1:11" x14ac:dyDescent="0.4">
      <c r="A1" s="5" t="s">
        <v>10</v>
      </c>
      <c r="B1" s="5" t="s">
        <v>0</v>
      </c>
      <c r="C1" s="5" t="s">
        <v>325</v>
      </c>
      <c r="D1" s="5" t="s">
        <v>326</v>
      </c>
      <c r="E1" s="5" t="s">
        <v>327</v>
      </c>
      <c r="F1" s="5" t="s">
        <v>2</v>
      </c>
      <c r="G1" s="5" t="s">
        <v>328</v>
      </c>
      <c r="H1" s="6" t="s">
        <v>329</v>
      </c>
      <c r="I1" s="6" t="s">
        <v>330</v>
      </c>
      <c r="J1" s="6" t="s">
        <v>331</v>
      </c>
      <c r="K1" s="6" t="s">
        <v>332</v>
      </c>
    </row>
    <row r="2" spans="1:11" x14ac:dyDescent="0.4">
      <c r="A2" s="7">
        <v>1.1000000000000001</v>
      </c>
      <c r="B2" s="7" t="s">
        <v>12</v>
      </c>
      <c r="C2" s="7" t="s">
        <v>13</v>
      </c>
      <c r="D2" s="7" t="s">
        <v>333</v>
      </c>
      <c r="E2" s="7" t="s">
        <v>334</v>
      </c>
      <c r="F2" s="7">
        <v>1</v>
      </c>
      <c r="G2" s="7" t="s">
        <v>15</v>
      </c>
      <c r="H2" s="8">
        <v>123356</v>
      </c>
      <c r="I2" s="8">
        <v>123356</v>
      </c>
    </row>
    <row r="3" spans="1:11" x14ac:dyDescent="0.4">
      <c r="A3" s="7">
        <v>1.2</v>
      </c>
      <c r="B3" s="7" t="s">
        <v>12</v>
      </c>
      <c r="C3" s="7" t="s">
        <v>13</v>
      </c>
      <c r="D3" s="7" t="s">
        <v>29</v>
      </c>
      <c r="E3" s="7" t="s">
        <v>335</v>
      </c>
      <c r="F3" s="7">
        <v>2</v>
      </c>
      <c r="G3" s="7" t="s">
        <v>15</v>
      </c>
      <c r="H3" s="8">
        <v>203049</v>
      </c>
      <c r="I3" s="8">
        <v>406098</v>
      </c>
    </row>
    <row r="4" spans="1:11" x14ac:dyDescent="0.4">
      <c r="A4" s="7">
        <v>1.3</v>
      </c>
      <c r="B4" s="7" t="s">
        <v>12</v>
      </c>
      <c r="C4" s="7" t="s">
        <v>13</v>
      </c>
      <c r="D4" s="7" t="s">
        <v>333</v>
      </c>
      <c r="E4" s="7" t="s">
        <v>336</v>
      </c>
      <c r="F4" s="7">
        <v>1</v>
      </c>
      <c r="G4" s="7" t="s">
        <v>15</v>
      </c>
      <c r="H4" s="8">
        <v>97708</v>
      </c>
      <c r="I4" s="8">
        <v>97708</v>
      </c>
    </row>
    <row r="5" spans="1:11" x14ac:dyDescent="0.4">
      <c r="A5" s="7">
        <v>2.1</v>
      </c>
      <c r="B5" s="7" t="s">
        <v>12</v>
      </c>
      <c r="C5" s="7" t="s">
        <v>42</v>
      </c>
      <c r="D5" s="7" t="s">
        <v>43</v>
      </c>
      <c r="E5" s="7" t="s">
        <v>337</v>
      </c>
      <c r="F5" s="7">
        <v>2</v>
      </c>
      <c r="G5" s="7" t="s">
        <v>15</v>
      </c>
      <c r="H5" s="8">
        <v>46900</v>
      </c>
      <c r="I5" s="8">
        <v>93800</v>
      </c>
    </row>
    <row r="6" spans="1:11" x14ac:dyDescent="0.4">
      <c r="A6" s="7">
        <v>2.2000000000000002</v>
      </c>
      <c r="B6" s="7" t="s">
        <v>12</v>
      </c>
      <c r="C6" s="7" t="s">
        <v>42</v>
      </c>
      <c r="D6" s="7" t="s">
        <v>187</v>
      </c>
      <c r="E6" s="7" t="s">
        <v>338</v>
      </c>
      <c r="F6" s="7">
        <v>1</v>
      </c>
      <c r="G6" s="7" t="s">
        <v>15</v>
      </c>
      <c r="H6" s="8">
        <v>100607</v>
      </c>
      <c r="I6" s="8">
        <v>100607</v>
      </c>
    </row>
    <row r="7" spans="1:11" x14ac:dyDescent="0.4">
      <c r="A7" s="7">
        <v>2.2999999999999998</v>
      </c>
      <c r="B7" s="7" t="s">
        <v>12</v>
      </c>
      <c r="C7" s="7" t="s">
        <v>42</v>
      </c>
      <c r="D7" s="7" t="s">
        <v>59</v>
      </c>
      <c r="F7" s="7">
        <v>2</v>
      </c>
      <c r="G7" s="7" t="s">
        <v>15</v>
      </c>
      <c r="H7" s="8">
        <v>14375</v>
      </c>
      <c r="I7" s="8">
        <v>28750</v>
      </c>
    </row>
    <row r="8" spans="1:11" x14ac:dyDescent="0.4">
      <c r="A8" s="7">
        <v>3.1</v>
      </c>
      <c r="B8" s="7" t="s">
        <v>12</v>
      </c>
      <c r="C8" s="7" t="s">
        <v>60</v>
      </c>
      <c r="D8" s="7" t="s">
        <v>339</v>
      </c>
      <c r="E8" s="7" t="s">
        <v>340</v>
      </c>
      <c r="F8" s="7">
        <v>1</v>
      </c>
      <c r="G8" s="7" t="s">
        <v>15</v>
      </c>
      <c r="H8" s="8">
        <v>138244</v>
      </c>
      <c r="I8" s="8">
        <v>138244</v>
      </c>
    </row>
    <row r="9" spans="1:11" x14ac:dyDescent="0.4">
      <c r="A9" s="7">
        <v>3.2</v>
      </c>
      <c r="B9" s="7" t="s">
        <v>12</v>
      </c>
      <c r="C9" s="7" t="s">
        <v>60</v>
      </c>
      <c r="D9" s="7" t="s">
        <v>333</v>
      </c>
      <c r="E9" s="7" t="s">
        <v>341</v>
      </c>
      <c r="F9" s="7">
        <v>1</v>
      </c>
      <c r="G9" s="7" t="s">
        <v>15</v>
      </c>
      <c r="H9" s="8">
        <v>81229</v>
      </c>
      <c r="I9" s="8">
        <v>81229</v>
      </c>
    </row>
    <row r="10" spans="1:11" x14ac:dyDescent="0.4">
      <c r="A10" s="7">
        <v>3.3</v>
      </c>
      <c r="B10" s="7" t="s">
        <v>12</v>
      </c>
      <c r="C10" s="7" t="s">
        <v>60</v>
      </c>
      <c r="D10" s="7" t="s">
        <v>59</v>
      </c>
      <c r="F10" s="7">
        <v>6</v>
      </c>
      <c r="G10" s="7" t="s">
        <v>15</v>
      </c>
      <c r="H10" s="8">
        <v>14375</v>
      </c>
      <c r="I10" s="8">
        <v>86250</v>
      </c>
    </row>
    <row r="11" spans="1:11" x14ac:dyDescent="0.4">
      <c r="A11" s="7">
        <v>4.0999999999999996</v>
      </c>
      <c r="B11" s="7" t="s">
        <v>12</v>
      </c>
      <c r="C11" s="7" t="s">
        <v>70</v>
      </c>
      <c r="D11" s="7" t="s">
        <v>43</v>
      </c>
      <c r="E11" s="7" t="s">
        <v>337</v>
      </c>
      <c r="F11" s="7">
        <v>1</v>
      </c>
      <c r="G11" s="7" t="s">
        <v>15</v>
      </c>
      <c r="H11" s="8">
        <v>46900</v>
      </c>
      <c r="I11" s="8">
        <v>46900</v>
      </c>
    </row>
    <row r="12" spans="1:11" x14ac:dyDescent="0.4">
      <c r="A12" s="7">
        <v>4.2</v>
      </c>
      <c r="B12" s="7" t="s">
        <v>12</v>
      </c>
      <c r="C12" s="7" t="s">
        <v>70</v>
      </c>
      <c r="D12" s="7" t="s">
        <v>71</v>
      </c>
      <c r="E12" s="7" t="s">
        <v>342</v>
      </c>
      <c r="F12" s="7">
        <v>1</v>
      </c>
      <c r="G12" s="7" t="s">
        <v>15</v>
      </c>
      <c r="H12" s="8">
        <v>181814</v>
      </c>
      <c r="I12" s="8">
        <v>181814</v>
      </c>
    </row>
    <row r="13" spans="1:11" x14ac:dyDescent="0.4">
      <c r="A13" s="7">
        <v>4.3</v>
      </c>
      <c r="B13" s="7" t="s">
        <v>12</v>
      </c>
      <c r="C13" s="7" t="s">
        <v>70</v>
      </c>
      <c r="D13" s="7" t="s">
        <v>339</v>
      </c>
      <c r="E13" s="7" t="s">
        <v>343</v>
      </c>
      <c r="F13" s="7">
        <v>1</v>
      </c>
      <c r="G13" s="7" t="s">
        <v>15</v>
      </c>
      <c r="H13" s="8">
        <v>88726</v>
      </c>
      <c r="I13" s="8">
        <v>88726</v>
      </c>
    </row>
    <row r="14" spans="1:11" x14ac:dyDescent="0.4">
      <c r="A14" s="7">
        <v>5.0999999999999996</v>
      </c>
      <c r="B14" s="7" t="s">
        <v>12</v>
      </c>
      <c r="C14" s="7" t="s">
        <v>92</v>
      </c>
      <c r="D14" s="7" t="s">
        <v>333</v>
      </c>
      <c r="E14" s="7" t="s">
        <v>344</v>
      </c>
      <c r="F14" s="7">
        <v>1</v>
      </c>
      <c r="G14" s="7" t="s">
        <v>15</v>
      </c>
      <c r="H14" s="8">
        <v>53039</v>
      </c>
      <c r="I14" s="8">
        <v>53039</v>
      </c>
    </row>
    <row r="15" spans="1:11" x14ac:dyDescent="0.4">
      <c r="A15" s="7">
        <v>5.2</v>
      </c>
      <c r="B15" s="7" t="s">
        <v>12</v>
      </c>
      <c r="C15" s="7" t="s">
        <v>92</v>
      </c>
      <c r="D15" s="7" t="s">
        <v>59</v>
      </c>
      <c r="F15" s="7">
        <v>1</v>
      </c>
      <c r="G15" s="7" t="s">
        <v>15</v>
      </c>
      <c r="H15" s="8">
        <v>14375</v>
      </c>
      <c r="I15" s="8">
        <v>14375</v>
      </c>
    </row>
    <row r="16" spans="1:11" x14ac:dyDescent="0.4">
      <c r="A16" s="7">
        <v>6.1</v>
      </c>
      <c r="B16" s="7" t="s">
        <v>12</v>
      </c>
      <c r="C16" s="7" t="s">
        <v>97</v>
      </c>
      <c r="D16" s="7" t="s">
        <v>98</v>
      </c>
      <c r="E16" s="7" t="s">
        <v>99</v>
      </c>
      <c r="F16" s="7">
        <v>3</v>
      </c>
      <c r="G16" s="7" t="s">
        <v>15</v>
      </c>
      <c r="H16" s="8">
        <v>53000</v>
      </c>
      <c r="I16" s="8">
        <v>159000</v>
      </c>
    </row>
    <row r="17" spans="1:9" x14ac:dyDescent="0.4">
      <c r="A17" s="7">
        <v>6.2</v>
      </c>
      <c r="B17" s="7" t="s">
        <v>12</v>
      </c>
      <c r="C17" s="7" t="s">
        <v>97</v>
      </c>
      <c r="D17" s="7" t="s">
        <v>100</v>
      </c>
      <c r="E17" s="7" t="s">
        <v>101</v>
      </c>
      <c r="F17" s="7">
        <v>4</v>
      </c>
      <c r="G17" s="7" t="s">
        <v>15</v>
      </c>
      <c r="H17" s="8">
        <v>38500</v>
      </c>
      <c r="I17" s="8">
        <v>154000</v>
      </c>
    </row>
    <row r="18" spans="1:9" x14ac:dyDescent="0.4">
      <c r="A18" s="7">
        <v>7.1</v>
      </c>
      <c r="B18" s="7" t="s">
        <v>12</v>
      </c>
      <c r="C18" s="7" t="s">
        <v>102</v>
      </c>
      <c r="D18" s="7" t="s">
        <v>345</v>
      </c>
      <c r="E18" s="7" t="s">
        <v>346</v>
      </c>
      <c r="F18" s="7">
        <v>9</v>
      </c>
      <c r="G18" s="7" t="s">
        <v>15</v>
      </c>
      <c r="H18" s="8">
        <v>21500</v>
      </c>
      <c r="I18" s="8">
        <v>193500</v>
      </c>
    </row>
    <row r="19" spans="1:9" x14ac:dyDescent="0.4">
      <c r="A19" s="7">
        <v>8.1</v>
      </c>
      <c r="B19" s="7" t="s">
        <v>12</v>
      </c>
      <c r="C19" s="7" t="s">
        <v>106</v>
      </c>
      <c r="D19" s="7" t="s">
        <v>345</v>
      </c>
      <c r="E19" s="7" t="s">
        <v>347</v>
      </c>
      <c r="F19" s="7">
        <v>12</v>
      </c>
      <c r="G19" s="7" t="s">
        <v>15</v>
      </c>
      <c r="H19" s="8">
        <v>19500</v>
      </c>
      <c r="I19" s="8">
        <v>234000</v>
      </c>
    </row>
    <row r="20" spans="1:9" x14ac:dyDescent="0.4">
      <c r="A20" s="7">
        <v>9.1</v>
      </c>
      <c r="B20" s="7" t="s">
        <v>12</v>
      </c>
      <c r="C20" s="7" t="s">
        <v>108</v>
      </c>
      <c r="D20" s="7" t="s">
        <v>348</v>
      </c>
      <c r="E20" s="7" t="s">
        <v>349</v>
      </c>
      <c r="F20" s="7">
        <v>1</v>
      </c>
      <c r="G20" s="7" t="s">
        <v>15</v>
      </c>
      <c r="H20" s="8">
        <v>137363</v>
      </c>
      <c r="I20" s="8">
        <v>137363</v>
      </c>
    </row>
    <row r="21" spans="1:9" x14ac:dyDescent="0.4">
      <c r="A21" s="7">
        <v>10.1</v>
      </c>
      <c r="B21" s="7" t="s">
        <v>12</v>
      </c>
      <c r="C21" s="7" t="s">
        <v>113</v>
      </c>
      <c r="D21" s="7" t="s">
        <v>43</v>
      </c>
      <c r="E21" s="7" t="s">
        <v>337</v>
      </c>
      <c r="F21" s="7">
        <v>1</v>
      </c>
      <c r="G21" s="7" t="s">
        <v>15</v>
      </c>
      <c r="H21" s="8">
        <v>46900</v>
      </c>
      <c r="I21" s="8">
        <v>46900</v>
      </c>
    </row>
    <row r="22" spans="1:9" x14ac:dyDescent="0.4">
      <c r="A22" s="7">
        <v>11.1</v>
      </c>
      <c r="B22" s="7" t="s">
        <v>12</v>
      </c>
      <c r="C22" s="7" t="s">
        <v>114</v>
      </c>
      <c r="D22" s="7" t="s">
        <v>350</v>
      </c>
      <c r="E22" s="7" t="s">
        <v>351</v>
      </c>
      <c r="F22" s="7">
        <v>1</v>
      </c>
      <c r="G22" s="7" t="s">
        <v>15</v>
      </c>
      <c r="H22" s="8">
        <v>84864</v>
      </c>
      <c r="I22" s="8">
        <v>84864</v>
      </c>
    </row>
    <row r="23" spans="1:9" x14ac:dyDescent="0.4">
      <c r="A23" s="7">
        <v>12.1</v>
      </c>
      <c r="B23" s="7" t="s">
        <v>12</v>
      </c>
      <c r="C23" s="7" t="s">
        <v>120</v>
      </c>
      <c r="D23" s="7" t="s">
        <v>350</v>
      </c>
      <c r="E23" s="7" t="s">
        <v>352</v>
      </c>
      <c r="F23" s="7">
        <v>1</v>
      </c>
      <c r="G23" s="7" t="s">
        <v>15</v>
      </c>
      <c r="H23" s="8">
        <v>83964</v>
      </c>
      <c r="I23" s="8">
        <v>83964</v>
      </c>
    </row>
    <row r="24" spans="1:9" x14ac:dyDescent="0.4">
      <c r="A24" s="7">
        <v>13.1</v>
      </c>
      <c r="B24" s="7" t="s">
        <v>12</v>
      </c>
      <c r="C24" s="7" t="s">
        <v>122</v>
      </c>
      <c r="D24" s="7" t="s">
        <v>133</v>
      </c>
      <c r="E24" s="7" t="s">
        <v>353</v>
      </c>
      <c r="F24" s="7">
        <v>2</v>
      </c>
      <c r="G24" s="7" t="s">
        <v>15</v>
      </c>
      <c r="H24" s="8">
        <v>191317</v>
      </c>
      <c r="I24" s="8">
        <v>382634</v>
      </c>
    </row>
    <row r="25" spans="1:9" x14ac:dyDescent="0.4">
      <c r="A25" s="7">
        <v>13.2</v>
      </c>
      <c r="B25" s="7" t="s">
        <v>12</v>
      </c>
      <c r="C25" s="7" t="s">
        <v>122</v>
      </c>
      <c r="D25" s="7" t="s">
        <v>187</v>
      </c>
      <c r="E25" s="7" t="s">
        <v>354</v>
      </c>
      <c r="F25" s="7">
        <v>1</v>
      </c>
      <c r="G25" s="7" t="s">
        <v>15</v>
      </c>
      <c r="H25" s="8">
        <v>61661</v>
      </c>
      <c r="I25" s="8">
        <v>61661</v>
      </c>
    </row>
    <row r="26" spans="1:9" x14ac:dyDescent="0.4">
      <c r="A26" s="7">
        <v>14.1</v>
      </c>
      <c r="B26" s="7" t="s">
        <v>12</v>
      </c>
      <c r="C26" s="7" t="s">
        <v>132</v>
      </c>
      <c r="D26" s="7" t="s">
        <v>133</v>
      </c>
      <c r="E26" s="7" t="s">
        <v>353</v>
      </c>
      <c r="F26" s="7">
        <v>1</v>
      </c>
      <c r="G26" s="7" t="s">
        <v>15</v>
      </c>
      <c r="H26" s="8">
        <v>191317</v>
      </c>
      <c r="I26" s="8">
        <v>191317</v>
      </c>
    </row>
    <row r="27" spans="1:9" x14ac:dyDescent="0.4">
      <c r="A27" s="7">
        <v>14.2</v>
      </c>
      <c r="B27" s="7" t="s">
        <v>12</v>
      </c>
      <c r="C27" s="7" t="s">
        <v>132</v>
      </c>
      <c r="D27" s="7" t="s">
        <v>355</v>
      </c>
      <c r="E27" s="7" t="s">
        <v>356</v>
      </c>
      <c r="F27" s="7">
        <v>1</v>
      </c>
      <c r="G27" s="7" t="s">
        <v>15</v>
      </c>
      <c r="H27" s="8">
        <v>101430</v>
      </c>
      <c r="I27" s="8">
        <v>101430</v>
      </c>
    </row>
    <row r="28" spans="1:9" x14ac:dyDescent="0.4">
      <c r="A28" s="7">
        <v>14.3</v>
      </c>
      <c r="B28" s="7" t="s">
        <v>12</v>
      </c>
      <c r="C28" s="7" t="s">
        <v>132</v>
      </c>
      <c r="D28" s="7" t="s">
        <v>357</v>
      </c>
      <c r="E28" s="7" t="s">
        <v>358</v>
      </c>
      <c r="F28" s="7">
        <v>1</v>
      </c>
      <c r="G28" s="7" t="s">
        <v>15</v>
      </c>
      <c r="H28" s="8">
        <v>209925</v>
      </c>
      <c r="I28" s="8">
        <v>209925</v>
      </c>
    </row>
    <row r="29" spans="1:9" x14ac:dyDescent="0.4">
      <c r="A29" s="7">
        <v>15.1</v>
      </c>
      <c r="B29" s="7" t="s">
        <v>12</v>
      </c>
      <c r="C29" s="7" t="s">
        <v>146</v>
      </c>
      <c r="D29" s="7" t="s">
        <v>359</v>
      </c>
      <c r="E29" s="7" t="s">
        <v>360</v>
      </c>
      <c r="F29" s="7">
        <v>1</v>
      </c>
      <c r="G29" s="7" t="s">
        <v>15</v>
      </c>
      <c r="H29" s="8">
        <v>49356</v>
      </c>
      <c r="I29" s="8">
        <v>49356</v>
      </c>
    </row>
    <row r="30" spans="1:9" x14ac:dyDescent="0.4">
      <c r="A30" s="7">
        <v>16.100000000000001</v>
      </c>
      <c r="B30" s="7" t="s">
        <v>12</v>
      </c>
      <c r="C30" s="7" t="s">
        <v>150</v>
      </c>
      <c r="D30" s="7" t="s">
        <v>359</v>
      </c>
      <c r="E30" s="7" t="s">
        <v>361</v>
      </c>
      <c r="F30" s="7">
        <v>1</v>
      </c>
      <c r="G30" s="7" t="s">
        <v>15</v>
      </c>
      <c r="H30" s="8">
        <v>27723</v>
      </c>
      <c r="I30" s="8">
        <v>27723</v>
      </c>
    </row>
    <row r="31" spans="1:9" x14ac:dyDescent="0.4">
      <c r="A31" s="7">
        <v>17.100000000000001</v>
      </c>
      <c r="B31" s="7" t="s">
        <v>12</v>
      </c>
      <c r="C31" s="7" t="s">
        <v>154</v>
      </c>
      <c r="D31" s="7" t="s">
        <v>359</v>
      </c>
      <c r="E31" s="7" t="s">
        <v>362</v>
      </c>
      <c r="F31" s="7">
        <v>1</v>
      </c>
      <c r="G31" s="7" t="s">
        <v>15</v>
      </c>
      <c r="H31" s="8">
        <v>41532</v>
      </c>
      <c r="I31" s="8">
        <v>41532</v>
      </c>
    </row>
    <row r="32" spans="1:9" x14ac:dyDescent="0.4">
      <c r="A32" s="7">
        <v>18.100000000000001</v>
      </c>
      <c r="B32" s="7" t="s">
        <v>12</v>
      </c>
      <c r="C32" s="7" t="s">
        <v>156</v>
      </c>
      <c r="D32" s="7" t="s">
        <v>157</v>
      </c>
      <c r="E32" s="7" t="s">
        <v>363</v>
      </c>
      <c r="F32" s="7">
        <v>17</v>
      </c>
      <c r="G32" s="7" t="s">
        <v>15</v>
      </c>
      <c r="H32" s="8">
        <v>8200</v>
      </c>
      <c r="I32" s="8">
        <v>139400</v>
      </c>
    </row>
    <row r="33" spans="1:9" x14ac:dyDescent="0.4">
      <c r="A33" s="7">
        <v>19.100000000000001</v>
      </c>
      <c r="B33" s="7" t="s">
        <v>12</v>
      </c>
      <c r="C33" s="7" t="s">
        <v>160</v>
      </c>
      <c r="D33" s="7" t="s">
        <v>187</v>
      </c>
      <c r="E33" s="7" t="s">
        <v>364</v>
      </c>
      <c r="F33" s="7">
        <v>1</v>
      </c>
      <c r="G33" s="7" t="s">
        <v>15</v>
      </c>
      <c r="H33" s="8">
        <v>127131</v>
      </c>
      <c r="I33" s="8">
        <v>127131</v>
      </c>
    </row>
    <row r="34" spans="1:9" x14ac:dyDescent="0.4">
      <c r="A34" s="7">
        <v>1.1000000000000001</v>
      </c>
      <c r="B34" s="7" t="s">
        <v>166</v>
      </c>
      <c r="C34" s="7" t="s">
        <v>97</v>
      </c>
      <c r="D34" s="7" t="s">
        <v>365</v>
      </c>
      <c r="E34" s="7" t="s">
        <v>101</v>
      </c>
      <c r="F34" s="7">
        <v>12</v>
      </c>
      <c r="G34" s="7" t="s">
        <v>15</v>
      </c>
      <c r="H34" s="8">
        <v>40426</v>
      </c>
      <c r="I34" s="8">
        <v>485112</v>
      </c>
    </row>
    <row r="35" spans="1:9" x14ac:dyDescent="0.4">
      <c r="A35" s="7">
        <v>2.1</v>
      </c>
      <c r="B35" s="7" t="s">
        <v>166</v>
      </c>
      <c r="C35" s="7" t="s">
        <v>168</v>
      </c>
      <c r="D35" s="7" t="s">
        <v>169</v>
      </c>
      <c r="E35" s="7" t="s">
        <v>170</v>
      </c>
      <c r="F35" s="7">
        <v>6</v>
      </c>
      <c r="G35" s="7" t="s">
        <v>15</v>
      </c>
      <c r="H35" s="8">
        <v>55650</v>
      </c>
      <c r="I35" s="8">
        <v>333900</v>
      </c>
    </row>
    <row r="36" spans="1:9" x14ac:dyDescent="0.4">
      <c r="A36" s="7">
        <v>3.1</v>
      </c>
      <c r="B36" s="7" t="s">
        <v>166</v>
      </c>
      <c r="C36" s="7" t="s">
        <v>106</v>
      </c>
      <c r="D36" s="7" t="s">
        <v>345</v>
      </c>
      <c r="E36" s="7" t="s">
        <v>346</v>
      </c>
      <c r="F36" s="7">
        <v>6</v>
      </c>
      <c r="G36" s="7" t="s">
        <v>15</v>
      </c>
      <c r="H36" s="8">
        <v>22576</v>
      </c>
      <c r="I36" s="8">
        <v>135456</v>
      </c>
    </row>
    <row r="37" spans="1:9" x14ac:dyDescent="0.4">
      <c r="A37" s="7">
        <v>3.2</v>
      </c>
      <c r="B37" s="7" t="s">
        <v>166</v>
      </c>
      <c r="C37" s="7" t="s">
        <v>106</v>
      </c>
      <c r="D37" s="7" t="s">
        <v>345</v>
      </c>
      <c r="E37" s="7" t="s">
        <v>347</v>
      </c>
      <c r="F37" s="7">
        <v>4</v>
      </c>
      <c r="G37" s="7" t="s">
        <v>15</v>
      </c>
      <c r="H37" s="8">
        <v>20476</v>
      </c>
      <c r="I37" s="8">
        <v>81904</v>
      </c>
    </row>
    <row r="38" spans="1:9" x14ac:dyDescent="0.4">
      <c r="A38" s="7">
        <v>4.0999999999999996</v>
      </c>
      <c r="B38" s="7" t="s">
        <v>166</v>
      </c>
      <c r="C38" s="7" t="s">
        <v>171</v>
      </c>
      <c r="D38" s="7" t="s">
        <v>187</v>
      </c>
      <c r="E38" s="7" t="s">
        <v>366</v>
      </c>
      <c r="F38" s="7">
        <v>1</v>
      </c>
      <c r="G38" s="7" t="s">
        <v>15</v>
      </c>
      <c r="H38" s="8">
        <v>100033</v>
      </c>
      <c r="I38" s="8">
        <v>100033</v>
      </c>
    </row>
    <row r="39" spans="1:9" x14ac:dyDescent="0.4">
      <c r="A39" s="7">
        <v>5.0999999999999996</v>
      </c>
      <c r="B39" s="7" t="s">
        <v>166</v>
      </c>
      <c r="C39" s="7" t="s">
        <v>102</v>
      </c>
      <c r="D39" s="7" t="s">
        <v>345</v>
      </c>
      <c r="E39" s="7" t="s">
        <v>346</v>
      </c>
      <c r="F39" s="7">
        <v>16</v>
      </c>
      <c r="G39" s="7" t="s">
        <v>15</v>
      </c>
      <c r="H39" s="8">
        <v>22576</v>
      </c>
      <c r="I39" s="8">
        <v>361216</v>
      </c>
    </row>
    <row r="40" spans="1:9" x14ac:dyDescent="0.4">
      <c r="A40" s="7">
        <v>5.2</v>
      </c>
      <c r="B40" s="7" t="s">
        <v>166</v>
      </c>
      <c r="C40" s="7" t="s">
        <v>102</v>
      </c>
      <c r="D40" s="7" t="s">
        <v>333</v>
      </c>
      <c r="E40" s="7" t="s">
        <v>367</v>
      </c>
      <c r="F40" s="7">
        <v>1</v>
      </c>
      <c r="G40" s="7" t="s">
        <v>15</v>
      </c>
      <c r="H40" s="8">
        <v>47786</v>
      </c>
      <c r="I40" s="8">
        <v>47786</v>
      </c>
    </row>
    <row r="41" spans="1:9" x14ac:dyDescent="0.4">
      <c r="A41" s="7">
        <v>6.1</v>
      </c>
      <c r="B41" s="7" t="s">
        <v>166</v>
      </c>
      <c r="C41" s="7" t="s">
        <v>156</v>
      </c>
      <c r="D41" s="7" t="s">
        <v>157</v>
      </c>
      <c r="E41" s="7" t="s">
        <v>363</v>
      </c>
      <c r="F41" s="7">
        <v>9</v>
      </c>
      <c r="G41" s="7" t="s">
        <v>15</v>
      </c>
      <c r="H41" s="8">
        <v>8610</v>
      </c>
      <c r="I41" s="8">
        <v>77490</v>
      </c>
    </row>
    <row r="42" spans="1:9" x14ac:dyDescent="0.4">
      <c r="A42" s="7">
        <v>7.1</v>
      </c>
      <c r="B42" s="7" t="s">
        <v>166</v>
      </c>
      <c r="C42" s="7" t="s">
        <v>176</v>
      </c>
      <c r="D42" s="7" t="s">
        <v>177</v>
      </c>
      <c r="E42" s="7" t="s">
        <v>337</v>
      </c>
      <c r="F42" s="7">
        <v>1</v>
      </c>
      <c r="G42" s="7" t="s">
        <v>15</v>
      </c>
      <c r="H42" s="8">
        <v>24570</v>
      </c>
      <c r="I42" s="8">
        <v>24570</v>
      </c>
    </row>
    <row r="43" spans="1:9" x14ac:dyDescent="0.4">
      <c r="A43" s="7">
        <v>7.2</v>
      </c>
      <c r="B43" s="7" t="s">
        <v>166</v>
      </c>
      <c r="C43" s="7" t="s">
        <v>176</v>
      </c>
      <c r="D43" s="7" t="s">
        <v>98</v>
      </c>
      <c r="E43" s="7" t="s">
        <v>99</v>
      </c>
      <c r="F43" s="7">
        <v>1</v>
      </c>
      <c r="G43" s="7" t="s">
        <v>15</v>
      </c>
      <c r="H43" s="8">
        <v>55650</v>
      </c>
      <c r="I43" s="8">
        <v>55650</v>
      </c>
    </row>
    <row r="44" spans="1:9" x14ac:dyDescent="0.4">
      <c r="A44" s="7">
        <v>7.3</v>
      </c>
      <c r="B44" s="7" t="s">
        <v>166</v>
      </c>
      <c r="C44" s="7" t="s">
        <v>176</v>
      </c>
      <c r="D44" s="7" t="s">
        <v>133</v>
      </c>
      <c r="E44" s="7" t="s">
        <v>368</v>
      </c>
      <c r="F44" s="7">
        <v>4</v>
      </c>
      <c r="G44" s="7" t="s">
        <v>15</v>
      </c>
      <c r="H44" s="8">
        <v>202577</v>
      </c>
      <c r="I44" s="8">
        <v>810308</v>
      </c>
    </row>
    <row r="45" spans="1:9" x14ac:dyDescent="0.4">
      <c r="A45" s="7">
        <v>7.4</v>
      </c>
      <c r="B45" s="7" t="s">
        <v>166</v>
      </c>
      <c r="C45" s="7" t="s">
        <v>176</v>
      </c>
      <c r="D45" s="7" t="s">
        <v>359</v>
      </c>
      <c r="E45" s="7" t="s">
        <v>369</v>
      </c>
      <c r="F45" s="7">
        <v>1</v>
      </c>
      <c r="G45" s="7" t="s">
        <v>15</v>
      </c>
      <c r="H45" s="8">
        <v>60744</v>
      </c>
      <c r="I45" s="8">
        <v>60744</v>
      </c>
    </row>
    <row r="46" spans="1:9" x14ac:dyDescent="0.4">
      <c r="A46" s="7">
        <v>7.5</v>
      </c>
      <c r="B46" s="7" t="s">
        <v>166</v>
      </c>
      <c r="C46" s="7" t="s">
        <v>176</v>
      </c>
      <c r="D46" s="7" t="s">
        <v>359</v>
      </c>
      <c r="E46" s="7" t="s">
        <v>370</v>
      </c>
      <c r="F46" s="7">
        <v>1</v>
      </c>
      <c r="G46" s="7" t="s">
        <v>15</v>
      </c>
      <c r="H46" s="8">
        <v>61245</v>
      </c>
      <c r="I46" s="8">
        <v>61245</v>
      </c>
    </row>
    <row r="47" spans="1:9" x14ac:dyDescent="0.4">
      <c r="A47" s="7">
        <v>7.6</v>
      </c>
      <c r="B47" s="7" t="s">
        <v>166</v>
      </c>
      <c r="C47" s="7" t="s">
        <v>176</v>
      </c>
      <c r="D47" s="7" t="s">
        <v>182</v>
      </c>
      <c r="E47" s="7" t="s">
        <v>371</v>
      </c>
      <c r="F47" s="7">
        <v>1</v>
      </c>
      <c r="G47" s="7" t="s">
        <v>15</v>
      </c>
      <c r="H47" s="8">
        <v>188805</v>
      </c>
      <c r="I47" s="8">
        <v>188805</v>
      </c>
    </row>
    <row r="48" spans="1:9" x14ac:dyDescent="0.4">
      <c r="A48" s="7">
        <v>7.7</v>
      </c>
      <c r="B48" s="7" t="s">
        <v>166</v>
      </c>
      <c r="C48" s="7" t="s">
        <v>176</v>
      </c>
      <c r="D48" s="7" t="s">
        <v>187</v>
      </c>
      <c r="E48" s="7" t="s">
        <v>372</v>
      </c>
      <c r="F48" s="7">
        <v>1</v>
      </c>
      <c r="G48" s="7" t="s">
        <v>15</v>
      </c>
      <c r="H48" s="8">
        <v>32038</v>
      </c>
      <c r="I48" s="8">
        <v>32038</v>
      </c>
    </row>
    <row r="49" spans="1:9" x14ac:dyDescent="0.4">
      <c r="A49" s="7">
        <v>7.8</v>
      </c>
      <c r="B49" s="7" t="s">
        <v>166</v>
      </c>
      <c r="C49" s="7" t="s">
        <v>176</v>
      </c>
      <c r="D49" s="7" t="s">
        <v>59</v>
      </c>
      <c r="F49" s="7">
        <v>2</v>
      </c>
      <c r="G49" s="7" t="s">
        <v>15</v>
      </c>
      <c r="H49" s="8">
        <v>15095</v>
      </c>
      <c r="I49" s="8">
        <v>30190</v>
      </c>
    </row>
    <row r="50" spans="1:9" x14ac:dyDescent="0.4">
      <c r="A50" s="7">
        <v>8.1</v>
      </c>
      <c r="B50" s="7" t="s">
        <v>166</v>
      </c>
      <c r="C50" s="7" t="s">
        <v>189</v>
      </c>
      <c r="D50" s="7" t="s">
        <v>177</v>
      </c>
      <c r="E50" s="7" t="s">
        <v>337</v>
      </c>
      <c r="F50" s="7">
        <v>1</v>
      </c>
      <c r="G50" s="7" t="s">
        <v>15</v>
      </c>
      <c r="H50" s="8">
        <v>24570</v>
      </c>
      <c r="I50" s="8">
        <v>24570</v>
      </c>
    </row>
    <row r="51" spans="1:9" x14ac:dyDescent="0.4">
      <c r="A51" s="7">
        <v>8.1999999999999993</v>
      </c>
      <c r="B51" s="7" t="s">
        <v>166</v>
      </c>
      <c r="C51" s="7" t="s">
        <v>189</v>
      </c>
      <c r="D51" s="7" t="s">
        <v>98</v>
      </c>
      <c r="E51" s="7" t="s">
        <v>99</v>
      </c>
      <c r="F51" s="7">
        <v>1</v>
      </c>
      <c r="G51" s="7" t="s">
        <v>15</v>
      </c>
      <c r="H51" s="8">
        <v>55650</v>
      </c>
      <c r="I51" s="8">
        <v>55650</v>
      </c>
    </row>
    <row r="52" spans="1:9" x14ac:dyDescent="0.4">
      <c r="A52" s="7">
        <v>8.3000000000000007</v>
      </c>
      <c r="B52" s="7" t="s">
        <v>166</v>
      </c>
      <c r="C52" s="7" t="s">
        <v>189</v>
      </c>
      <c r="D52" s="7" t="s">
        <v>133</v>
      </c>
      <c r="E52" s="7" t="s">
        <v>368</v>
      </c>
      <c r="F52" s="7">
        <v>4</v>
      </c>
      <c r="G52" s="7" t="s">
        <v>15</v>
      </c>
      <c r="H52" s="8">
        <v>202577</v>
      </c>
      <c r="I52" s="8">
        <v>810308</v>
      </c>
    </row>
    <row r="53" spans="1:9" x14ac:dyDescent="0.4">
      <c r="A53" s="7">
        <v>8.4</v>
      </c>
      <c r="B53" s="7" t="s">
        <v>166</v>
      </c>
      <c r="C53" s="7" t="s">
        <v>189</v>
      </c>
      <c r="D53" s="7" t="s">
        <v>359</v>
      </c>
      <c r="E53" s="7" t="s">
        <v>369</v>
      </c>
      <c r="F53" s="7">
        <v>1</v>
      </c>
      <c r="G53" s="7" t="s">
        <v>15</v>
      </c>
      <c r="H53" s="8">
        <v>60744</v>
      </c>
      <c r="I53" s="8">
        <v>60744</v>
      </c>
    </row>
    <row r="54" spans="1:9" x14ac:dyDescent="0.4">
      <c r="A54" s="7">
        <v>8.5</v>
      </c>
      <c r="B54" s="7" t="s">
        <v>166</v>
      </c>
      <c r="C54" s="7" t="s">
        <v>189</v>
      </c>
      <c r="D54" s="7" t="s">
        <v>359</v>
      </c>
      <c r="E54" s="7" t="s">
        <v>370</v>
      </c>
      <c r="F54" s="7">
        <v>1</v>
      </c>
      <c r="G54" s="7" t="s">
        <v>15</v>
      </c>
      <c r="H54" s="8">
        <v>61245</v>
      </c>
      <c r="I54" s="8">
        <v>61245</v>
      </c>
    </row>
    <row r="55" spans="1:9" x14ac:dyDescent="0.4">
      <c r="A55" s="7">
        <v>8.6</v>
      </c>
      <c r="B55" s="7" t="s">
        <v>166</v>
      </c>
      <c r="C55" s="7" t="s">
        <v>189</v>
      </c>
      <c r="D55" s="7" t="s">
        <v>182</v>
      </c>
      <c r="E55" s="7" t="s">
        <v>371</v>
      </c>
      <c r="F55" s="7">
        <v>1</v>
      </c>
      <c r="G55" s="7" t="s">
        <v>15</v>
      </c>
      <c r="H55" s="8">
        <v>188805</v>
      </c>
      <c r="I55" s="8">
        <v>188805</v>
      </c>
    </row>
    <row r="56" spans="1:9" x14ac:dyDescent="0.4">
      <c r="A56" s="7">
        <v>8.6999999999999993</v>
      </c>
      <c r="B56" s="7" t="s">
        <v>166</v>
      </c>
      <c r="C56" s="7" t="s">
        <v>189</v>
      </c>
      <c r="D56" s="7" t="s">
        <v>187</v>
      </c>
      <c r="E56" s="7" t="s">
        <v>372</v>
      </c>
      <c r="F56" s="7">
        <v>1</v>
      </c>
      <c r="G56" s="7" t="s">
        <v>15</v>
      </c>
      <c r="H56" s="8">
        <v>32038</v>
      </c>
      <c r="I56" s="8">
        <v>32038</v>
      </c>
    </row>
    <row r="57" spans="1:9" x14ac:dyDescent="0.4">
      <c r="A57" s="7">
        <v>8.8000000000000007</v>
      </c>
      <c r="B57" s="7" t="s">
        <v>166</v>
      </c>
      <c r="C57" s="7" t="s">
        <v>189</v>
      </c>
      <c r="D57" s="7" t="s">
        <v>59</v>
      </c>
      <c r="F57" s="7">
        <v>2</v>
      </c>
      <c r="G57" s="7" t="s">
        <v>15</v>
      </c>
      <c r="H57" s="8">
        <v>15095</v>
      </c>
      <c r="I57" s="8">
        <v>30190</v>
      </c>
    </row>
    <row r="58" spans="1:9" x14ac:dyDescent="0.4">
      <c r="A58" s="7">
        <v>9.1</v>
      </c>
      <c r="B58" s="7" t="s">
        <v>166</v>
      </c>
      <c r="C58" s="7" t="s">
        <v>190</v>
      </c>
      <c r="D58" s="7" t="s">
        <v>177</v>
      </c>
      <c r="E58" s="7" t="s">
        <v>337</v>
      </c>
      <c r="F58" s="7">
        <v>1</v>
      </c>
      <c r="G58" s="7" t="s">
        <v>15</v>
      </c>
      <c r="H58" s="8">
        <v>24570</v>
      </c>
      <c r="I58" s="8">
        <v>24570</v>
      </c>
    </row>
    <row r="59" spans="1:9" x14ac:dyDescent="0.4">
      <c r="A59" s="7">
        <v>9.1999999999999993</v>
      </c>
      <c r="B59" s="7" t="s">
        <v>166</v>
      </c>
      <c r="C59" s="7" t="s">
        <v>190</v>
      </c>
      <c r="D59" s="7" t="s">
        <v>98</v>
      </c>
      <c r="E59" s="7" t="s">
        <v>99</v>
      </c>
      <c r="F59" s="7">
        <v>1</v>
      </c>
      <c r="G59" s="7" t="s">
        <v>15</v>
      </c>
      <c r="H59" s="8">
        <v>55650</v>
      </c>
      <c r="I59" s="8">
        <v>55650</v>
      </c>
    </row>
    <row r="60" spans="1:9" x14ac:dyDescent="0.4">
      <c r="A60" s="7">
        <v>9.3000000000000007</v>
      </c>
      <c r="B60" s="7" t="s">
        <v>166</v>
      </c>
      <c r="C60" s="7" t="s">
        <v>190</v>
      </c>
      <c r="D60" s="7" t="s">
        <v>133</v>
      </c>
      <c r="E60" s="7" t="s">
        <v>368</v>
      </c>
      <c r="F60" s="7">
        <v>4</v>
      </c>
      <c r="G60" s="7" t="s">
        <v>15</v>
      </c>
      <c r="H60" s="8">
        <v>202577</v>
      </c>
      <c r="I60" s="8">
        <v>810308</v>
      </c>
    </row>
    <row r="61" spans="1:9" x14ac:dyDescent="0.4">
      <c r="A61" s="7">
        <v>9.4</v>
      </c>
      <c r="B61" s="7" t="s">
        <v>166</v>
      </c>
      <c r="C61" s="7" t="s">
        <v>190</v>
      </c>
      <c r="D61" s="7" t="s">
        <v>359</v>
      </c>
      <c r="E61" s="7" t="s">
        <v>369</v>
      </c>
      <c r="F61" s="7">
        <v>1</v>
      </c>
      <c r="G61" s="7" t="s">
        <v>15</v>
      </c>
      <c r="H61" s="8">
        <v>60744</v>
      </c>
      <c r="I61" s="8">
        <v>60744</v>
      </c>
    </row>
    <row r="62" spans="1:9" x14ac:dyDescent="0.4">
      <c r="A62" s="7">
        <v>9.5</v>
      </c>
      <c r="B62" s="7" t="s">
        <v>166</v>
      </c>
      <c r="C62" s="7" t="s">
        <v>190</v>
      </c>
      <c r="D62" s="7" t="s">
        <v>359</v>
      </c>
      <c r="E62" s="7" t="s">
        <v>370</v>
      </c>
      <c r="F62" s="7">
        <v>1</v>
      </c>
      <c r="G62" s="7" t="s">
        <v>15</v>
      </c>
      <c r="H62" s="8">
        <v>61245</v>
      </c>
      <c r="I62" s="8">
        <v>61245</v>
      </c>
    </row>
    <row r="63" spans="1:9" x14ac:dyDescent="0.4">
      <c r="A63" s="7">
        <v>9.6</v>
      </c>
      <c r="B63" s="7" t="s">
        <v>166</v>
      </c>
      <c r="C63" s="7" t="s">
        <v>190</v>
      </c>
      <c r="D63" s="7" t="s">
        <v>182</v>
      </c>
      <c r="E63" s="7" t="s">
        <v>371</v>
      </c>
      <c r="F63" s="7">
        <v>1</v>
      </c>
      <c r="G63" s="7" t="s">
        <v>15</v>
      </c>
      <c r="H63" s="8">
        <v>188805</v>
      </c>
      <c r="I63" s="8">
        <v>188805</v>
      </c>
    </row>
    <row r="64" spans="1:9" x14ac:dyDescent="0.4">
      <c r="A64" s="7">
        <v>9.6999999999999993</v>
      </c>
      <c r="B64" s="7" t="s">
        <v>166</v>
      </c>
      <c r="C64" s="7" t="s">
        <v>190</v>
      </c>
      <c r="D64" s="7" t="s">
        <v>187</v>
      </c>
      <c r="E64" s="7" t="s">
        <v>372</v>
      </c>
      <c r="F64" s="7">
        <v>1</v>
      </c>
      <c r="G64" s="7" t="s">
        <v>15</v>
      </c>
      <c r="H64" s="8">
        <v>32038</v>
      </c>
      <c r="I64" s="8">
        <v>32038</v>
      </c>
    </row>
    <row r="65" spans="1:9" x14ac:dyDescent="0.4">
      <c r="A65" s="7">
        <v>9.8000000000000007</v>
      </c>
      <c r="B65" s="7" t="s">
        <v>166</v>
      </c>
      <c r="C65" s="7" t="s">
        <v>190</v>
      </c>
      <c r="D65" s="7" t="s">
        <v>59</v>
      </c>
      <c r="F65" s="7">
        <v>2</v>
      </c>
      <c r="G65" s="7" t="s">
        <v>15</v>
      </c>
      <c r="H65" s="8">
        <v>15095</v>
      </c>
      <c r="I65" s="8">
        <v>30190</v>
      </c>
    </row>
    <row r="66" spans="1:9" x14ac:dyDescent="0.4">
      <c r="A66" s="7">
        <v>10.1</v>
      </c>
      <c r="B66" s="7" t="s">
        <v>166</v>
      </c>
      <c r="C66" s="7" t="s">
        <v>191</v>
      </c>
      <c r="D66" s="7" t="s">
        <v>177</v>
      </c>
      <c r="E66" s="7" t="s">
        <v>337</v>
      </c>
      <c r="F66" s="7">
        <v>1</v>
      </c>
      <c r="G66" s="7" t="s">
        <v>15</v>
      </c>
      <c r="H66" s="8">
        <v>24570</v>
      </c>
      <c r="I66" s="8">
        <v>24570</v>
      </c>
    </row>
    <row r="67" spans="1:9" x14ac:dyDescent="0.4">
      <c r="A67" s="7">
        <v>10.199999999999999</v>
      </c>
      <c r="B67" s="7" t="s">
        <v>166</v>
      </c>
      <c r="C67" s="7" t="s">
        <v>191</v>
      </c>
      <c r="D67" s="7" t="s">
        <v>98</v>
      </c>
      <c r="E67" s="7" t="s">
        <v>99</v>
      </c>
      <c r="F67" s="7">
        <v>1</v>
      </c>
      <c r="G67" s="7" t="s">
        <v>15</v>
      </c>
      <c r="H67" s="8">
        <v>55650</v>
      </c>
      <c r="I67" s="8">
        <v>55650</v>
      </c>
    </row>
    <row r="68" spans="1:9" x14ac:dyDescent="0.4">
      <c r="A68" s="7">
        <v>10.3</v>
      </c>
      <c r="B68" s="7" t="s">
        <v>166</v>
      </c>
      <c r="C68" s="7" t="s">
        <v>191</v>
      </c>
      <c r="D68" s="7" t="s">
        <v>133</v>
      </c>
      <c r="E68" s="7" t="s">
        <v>368</v>
      </c>
      <c r="F68" s="7">
        <v>4</v>
      </c>
      <c r="G68" s="7" t="s">
        <v>15</v>
      </c>
      <c r="H68" s="8">
        <v>202577</v>
      </c>
      <c r="I68" s="8">
        <v>810308</v>
      </c>
    </row>
    <row r="69" spans="1:9" x14ac:dyDescent="0.4">
      <c r="A69" s="7">
        <v>10.4</v>
      </c>
      <c r="B69" s="7" t="s">
        <v>166</v>
      </c>
      <c r="C69" s="7" t="s">
        <v>191</v>
      </c>
      <c r="D69" s="7" t="s">
        <v>359</v>
      </c>
      <c r="E69" s="7" t="s">
        <v>369</v>
      </c>
      <c r="F69" s="7">
        <v>1</v>
      </c>
      <c r="G69" s="7" t="s">
        <v>15</v>
      </c>
      <c r="H69" s="8">
        <v>60744</v>
      </c>
      <c r="I69" s="8">
        <v>60744</v>
      </c>
    </row>
    <row r="70" spans="1:9" x14ac:dyDescent="0.4">
      <c r="A70" s="7">
        <v>10.5</v>
      </c>
      <c r="B70" s="7" t="s">
        <v>166</v>
      </c>
      <c r="C70" s="7" t="s">
        <v>191</v>
      </c>
      <c r="D70" s="7" t="s">
        <v>359</v>
      </c>
      <c r="E70" s="7" t="s">
        <v>370</v>
      </c>
      <c r="F70" s="7">
        <v>1</v>
      </c>
      <c r="G70" s="7" t="s">
        <v>15</v>
      </c>
      <c r="H70" s="8">
        <v>61245</v>
      </c>
      <c r="I70" s="8">
        <v>61245</v>
      </c>
    </row>
    <row r="71" spans="1:9" x14ac:dyDescent="0.4">
      <c r="A71" s="7">
        <v>10.6</v>
      </c>
      <c r="B71" s="7" t="s">
        <v>166</v>
      </c>
      <c r="C71" s="7" t="s">
        <v>191</v>
      </c>
      <c r="D71" s="7" t="s">
        <v>182</v>
      </c>
      <c r="E71" s="7" t="s">
        <v>371</v>
      </c>
      <c r="F71" s="7">
        <v>1</v>
      </c>
      <c r="G71" s="7" t="s">
        <v>15</v>
      </c>
      <c r="H71" s="8">
        <v>188805</v>
      </c>
      <c r="I71" s="8">
        <v>188805</v>
      </c>
    </row>
    <row r="72" spans="1:9" x14ac:dyDescent="0.4">
      <c r="A72" s="7">
        <v>10.7</v>
      </c>
      <c r="B72" s="7" t="s">
        <v>166</v>
      </c>
      <c r="C72" s="7" t="s">
        <v>191</v>
      </c>
      <c r="D72" s="7" t="s">
        <v>187</v>
      </c>
      <c r="E72" s="7" t="s">
        <v>372</v>
      </c>
      <c r="F72" s="7">
        <v>1</v>
      </c>
      <c r="G72" s="7" t="s">
        <v>15</v>
      </c>
      <c r="H72" s="8">
        <v>32038</v>
      </c>
      <c r="I72" s="8">
        <v>32038</v>
      </c>
    </row>
    <row r="73" spans="1:9" x14ac:dyDescent="0.4">
      <c r="A73" s="7">
        <v>10.8</v>
      </c>
      <c r="B73" s="7" t="s">
        <v>166</v>
      </c>
      <c r="C73" s="7" t="s">
        <v>191</v>
      </c>
      <c r="D73" s="7" t="s">
        <v>59</v>
      </c>
      <c r="F73" s="7">
        <v>2</v>
      </c>
      <c r="G73" s="7" t="s">
        <v>15</v>
      </c>
      <c r="H73" s="8">
        <v>15095</v>
      </c>
      <c r="I73" s="8">
        <v>30190</v>
      </c>
    </row>
    <row r="74" spans="1:9" x14ac:dyDescent="0.4">
      <c r="A74" s="7">
        <v>11.1</v>
      </c>
      <c r="B74" s="7" t="s">
        <v>166</v>
      </c>
      <c r="C74" s="7" t="s">
        <v>192</v>
      </c>
      <c r="D74" s="7" t="s">
        <v>177</v>
      </c>
      <c r="E74" s="7" t="s">
        <v>337</v>
      </c>
      <c r="F74" s="7">
        <v>1</v>
      </c>
      <c r="G74" s="7" t="s">
        <v>15</v>
      </c>
      <c r="H74" s="8">
        <v>24570</v>
      </c>
      <c r="I74" s="8">
        <v>24570</v>
      </c>
    </row>
    <row r="75" spans="1:9" x14ac:dyDescent="0.4">
      <c r="A75" s="7">
        <v>11.2</v>
      </c>
      <c r="B75" s="7" t="s">
        <v>166</v>
      </c>
      <c r="C75" s="7" t="s">
        <v>192</v>
      </c>
      <c r="D75" s="7" t="s">
        <v>98</v>
      </c>
      <c r="E75" s="7" t="s">
        <v>99</v>
      </c>
      <c r="F75" s="7">
        <v>1</v>
      </c>
      <c r="G75" s="7" t="s">
        <v>15</v>
      </c>
      <c r="H75" s="8">
        <v>55650</v>
      </c>
      <c r="I75" s="8">
        <v>55650</v>
      </c>
    </row>
    <row r="76" spans="1:9" x14ac:dyDescent="0.4">
      <c r="A76" s="7">
        <v>11.3</v>
      </c>
      <c r="B76" s="7" t="s">
        <v>166</v>
      </c>
      <c r="C76" s="7" t="s">
        <v>192</v>
      </c>
      <c r="D76" s="7" t="s">
        <v>133</v>
      </c>
      <c r="E76" s="7" t="s">
        <v>368</v>
      </c>
      <c r="F76" s="7">
        <v>4</v>
      </c>
      <c r="G76" s="7" t="s">
        <v>15</v>
      </c>
      <c r="H76" s="8">
        <v>202577</v>
      </c>
      <c r="I76" s="8">
        <v>810308</v>
      </c>
    </row>
    <row r="77" spans="1:9" x14ac:dyDescent="0.4">
      <c r="A77" s="7">
        <v>11.4</v>
      </c>
      <c r="B77" s="7" t="s">
        <v>166</v>
      </c>
      <c r="C77" s="7" t="s">
        <v>192</v>
      </c>
      <c r="D77" s="7" t="s">
        <v>359</v>
      </c>
      <c r="E77" s="7" t="s">
        <v>369</v>
      </c>
      <c r="F77" s="7">
        <v>1</v>
      </c>
      <c r="G77" s="7" t="s">
        <v>15</v>
      </c>
      <c r="H77" s="8">
        <v>60744</v>
      </c>
      <c r="I77" s="8">
        <v>60744</v>
      </c>
    </row>
    <row r="78" spans="1:9" x14ac:dyDescent="0.4">
      <c r="A78" s="7">
        <v>11.5</v>
      </c>
      <c r="B78" s="7" t="s">
        <v>166</v>
      </c>
      <c r="C78" s="7" t="s">
        <v>192</v>
      </c>
      <c r="D78" s="7" t="s">
        <v>359</v>
      </c>
      <c r="E78" s="7" t="s">
        <v>370</v>
      </c>
      <c r="F78" s="7">
        <v>1</v>
      </c>
      <c r="G78" s="7" t="s">
        <v>15</v>
      </c>
      <c r="H78" s="8">
        <v>61245</v>
      </c>
      <c r="I78" s="8">
        <v>61245</v>
      </c>
    </row>
    <row r="79" spans="1:9" x14ac:dyDescent="0.4">
      <c r="A79" s="7">
        <v>11.6</v>
      </c>
      <c r="B79" s="7" t="s">
        <v>166</v>
      </c>
      <c r="C79" s="7" t="s">
        <v>192</v>
      </c>
      <c r="D79" s="7" t="s">
        <v>182</v>
      </c>
      <c r="E79" s="7" t="s">
        <v>371</v>
      </c>
      <c r="F79" s="7">
        <v>1</v>
      </c>
      <c r="G79" s="7" t="s">
        <v>15</v>
      </c>
      <c r="H79" s="8">
        <v>188805</v>
      </c>
      <c r="I79" s="8">
        <v>188805</v>
      </c>
    </row>
    <row r="80" spans="1:9" x14ac:dyDescent="0.4">
      <c r="A80" s="7">
        <v>11.7</v>
      </c>
      <c r="B80" s="7" t="s">
        <v>166</v>
      </c>
      <c r="C80" s="7" t="s">
        <v>192</v>
      </c>
      <c r="D80" s="7" t="s">
        <v>187</v>
      </c>
      <c r="E80" s="7" t="s">
        <v>372</v>
      </c>
      <c r="F80" s="7">
        <v>1</v>
      </c>
      <c r="G80" s="7" t="s">
        <v>15</v>
      </c>
      <c r="H80" s="8">
        <v>32038</v>
      </c>
      <c r="I80" s="8">
        <v>32038</v>
      </c>
    </row>
    <row r="81" spans="1:9" x14ac:dyDescent="0.4">
      <c r="A81" s="7">
        <v>11.8</v>
      </c>
      <c r="B81" s="7" t="s">
        <v>166</v>
      </c>
      <c r="C81" s="7" t="s">
        <v>192</v>
      </c>
      <c r="D81" s="7" t="s">
        <v>59</v>
      </c>
      <c r="F81" s="7">
        <v>2</v>
      </c>
      <c r="G81" s="7" t="s">
        <v>15</v>
      </c>
      <c r="H81" s="8">
        <v>15095</v>
      </c>
      <c r="I81" s="8">
        <v>30190</v>
      </c>
    </row>
    <row r="82" spans="1:9" x14ac:dyDescent="0.4">
      <c r="A82" s="7">
        <v>12.1</v>
      </c>
      <c r="B82" s="7" t="s">
        <v>166</v>
      </c>
      <c r="C82" s="7" t="s">
        <v>193</v>
      </c>
      <c r="D82" s="7" t="s">
        <v>177</v>
      </c>
      <c r="E82" s="7" t="s">
        <v>337</v>
      </c>
      <c r="F82" s="7">
        <v>1</v>
      </c>
      <c r="G82" s="7" t="s">
        <v>15</v>
      </c>
      <c r="H82" s="8">
        <v>24570</v>
      </c>
      <c r="I82" s="8">
        <v>24570</v>
      </c>
    </row>
    <row r="83" spans="1:9" x14ac:dyDescent="0.4">
      <c r="A83" s="7">
        <v>12.2</v>
      </c>
      <c r="B83" s="7" t="s">
        <v>166</v>
      </c>
      <c r="C83" s="7" t="s">
        <v>193</v>
      </c>
      <c r="D83" s="7" t="s">
        <v>98</v>
      </c>
      <c r="E83" s="7" t="s">
        <v>99</v>
      </c>
      <c r="F83" s="7">
        <v>1</v>
      </c>
      <c r="G83" s="7" t="s">
        <v>15</v>
      </c>
      <c r="H83" s="8">
        <v>55650</v>
      </c>
      <c r="I83" s="8">
        <v>55650</v>
      </c>
    </row>
    <row r="84" spans="1:9" x14ac:dyDescent="0.4">
      <c r="A84" s="7">
        <v>12.3</v>
      </c>
      <c r="B84" s="7" t="s">
        <v>166</v>
      </c>
      <c r="C84" s="7" t="s">
        <v>193</v>
      </c>
      <c r="D84" s="7" t="s">
        <v>133</v>
      </c>
      <c r="E84" s="7" t="s">
        <v>368</v>
      </c>
      <c r="F84" s="7">
        <v>4</v>
      </c>
      <c r="G84" s="7" t="s">
        <v>15</v>
      </c>
      <c r="H84" s="8">
        <v>202577</v>
      </c>
      <c r="I84" s="8">
        <v>810308</v>
      </c>
    </row>
    <row r="85" spans="1:9" x14ac:dyDescent="0.4">
      <c r="A85" s="7">
        <v>12.4</v>
      </c>
      <c r="B85" s="7" t="s">
        <v>166</v>
      </c>
      <c r="C85" s="7" t="s">
        <v>193</v>
      </c>
      <c r="D85" s="7" t="s">
        <v>359</v>
      </c>
      <c r="E85" s="7" t="s">
        <v>369</v>
      </c>
      <c r="F85" s="7">
        <v>1</v>
      </c>
      <c r="G85" s="7" t="s">
        <v>15</v>
      </c>
      <c r="H85" s="8">
        <v>60744</v>
      </c>
      <c r="I85" s="8">
        <v>60744</v>
      </c>
    </row>
    <row r="86" spans="1:9" x14ac:dyDescent="0.4">
      <c r="A86" s="7">
        <v>12.5</v>
      </c>
      <c r="B86" s="7" t="s">
        <v>166</v>
      </c>
      <c r="C86" s="7" t="s">
        <v>193</v>
      </c>
      <c r="D86" s="7" t="s">
        <v>359</v>
      </c>
      <c r="E86" s="7" t="s">
        <v>370</v>
      </c>
      <c r="F86" s="7">
        <v>1</v>
      </c>
      <c r="G86" s="7" t="s">
        <v>15</v>
      </c>
      <c r="H86" s="8">
        <v>61245</v>
      </c>
      <c r="I86" s="8">
        <v>61245</v>
      </c>
    </row>
    <row r="87" spans="1:9" x14ac:dyDescent="0.4">
      <c r="A87" s="7">
        <v>12.6</v>
      </c>
      <c r="B87" s="7" t="s">
        <v>166</v>
      </c>
      <c r="C87" s="7" t="s">
        <v>193</v>
      </c>
      <c r="D87" s="7" t="s">
        <v>182</v>
      </c>
      <c r="E87" s="7" t="s">
        <v>371</v>
      </c>
      <c r="F87" s="7">
        <v>1</v>
      </c>
      <c r="G87" s="7" t="s">
        <v>15</v>
      </c>
      <c r="H87" s="8">
        <v>188805</v>
      </c>
      <c r="I87" s="8">
        <v>188805</v>
      </c>
    </row>
    <row r="88" spans="1:9" x14ac:dyDescent="0.4">
      <c r="A88" s="7">
        <v>12.7</v>
      </c>
      <c r="B88" s="7" t="s">
        <v>166</v>
      </c>
      <c r="C88" s="7" t="s">
        <v>193</v>
      </c>
      <c r="D88" s="7" t="s">
        <v>187</v>
      </c>
      <c r="E88" s="7" t="s">
        <v>372</v>
      </c>
      <c r="F88" s="7">
        <v>1</v>
      </c>
      <c r="G88" s="7" t="s">
        <v>15</v>
      </c>
      <c r="H88" s="8">
        <v>32038</v>
      </c>
      <c r="I88" s="8">
        <v>32038</v>
      </c>
    </row>
    <row r="89" spans="1:9" x14ac:dyDescent="0.4">
      <c r="A89" s="7">
        <v>12.8</v>
      </c>
      <c r="B89" s="7" t="s">
        <v>166</v>
      </c>
      <c r="C89" s="7" t="s">
        <v>193</v>
      </c>
      <c r="D89" s="7" t="s">
        <v>59</v>
      </c>
      <c r="F89" s="7">
        <v>2</v>
      </c>
      <c r="G89" s="7" t="s">
        <v>15</v>
      </c>
      <c r="H89" s="8">
        <v>15095</v>
      </c>
      <c r="I89" s="8">
        <v>30190</v>
      </c>
    </row>
    <row r="90" spans="1:9" x14ac:dyDescent="0.4">
      <c r="A90" s="7">
        <v>13.1</v>
      </c>
      <c r="B90" s="7" t="s">
        <v>166</v>
      </c>
      <c r="C90" s="7" t="s">
        <v>194</v>
      </c>
      <c r="D90" s="7" t="s">
        <v>195</v>
      </c>
      <c r="E90" s="7" t="s">
        <v>373</v>
      </c>
      <c r="F90" s="7">
        <v>5</v>
      </c>
      <c r="G90" s="7" t="s">
        <v>15</v>
      </c>
      <c r="H90" s="8">
        <v>223551</v>
      </c>
      <c r="I90" s="8">
        <v>1117755</v>
      </c>
    </row>
    <row r="91" spans="1:9" x14ac:dyDescent="0.4">
      <c r="A91" s="7">
        <v>13.2</v>
      </c>
      <c r="B91" s="7" t="s">
        <v>166</v>
      </c>
      <c r="C91" s="7" t="s">
        <v>194</v>
      </c>
      <c r="D91" s="7" t="s">
        <v>182</v>
      </c>
      <c r="E91" s="7" t="s">
        <v>374</v>
      </c>
      <c r="F91" s="7">
        <v>1</v>
      </c>
      <c r="G91" s="7" t="s">
        <v>15</v>
      </c>
      <c r="H91" s="8">
        <v>196298</v>
      </c>
      <c r="I91" s="8">
        <v>196298</v>
      </c>
    </row>
    <row r="92" spans="1:9" x14ac:dyDescent="0.4">
      <c r="A92" s="7">
        <v>13.3</v>
      </c>
      <c r="B92" s="7" t="s">
        <v>166</v>
      </c>
      <c r="C92" s="7" t="s">
        <v>194</v>
      </c>
      <c r="D92" s="7" t="s">
        <v>187</v>
      </c>
      <c r="E92" s="7" t="s">
        <v>375</v>
      </c>
      <c r="F92" s="7">
        <v>1</v>
      </c>
      <c r="G92" s="7" t="s">
        <v>15</v>
      </c>
      <c r="H92" s="8">
        <v>33134</v>
      </c>
      <c r="I92" s="8">
        <v>33134</v>
      </c>
    </row>
    <row r="93" spans="1:9" x14ac:dyDescent="0.4">
      <c r="A93" s="7">
        <v>13.4</v>
      </c>
      <c r="B93" s="7" t="s">
        <v>166</v>
      </c>
      <c r="C93" s="7" t="s">
        <v>194</v>
      </c>
      <c r="D93" s="7" t="s">
        <v>59</v>
      </c>
      <c r="F93" s="7">
        <v>2</v>
      </c>
      <c r="G93" s="7" t="s">
        <v>15</v>
      </c>
      <c r="H93" s="8">
        <v>15095</v>
      </c>
      <c r="I93" s="8">
        <v>30190</v>
      </c>
    </row>
    <row r="94" spans="1:9" x14ac:dyDescent="0.4">
      <c r="A94" s="7">
        <v>13.5</v>
      </c>
      <c r="B94" s="7" t="s">
        <v>166</v>
      </c>
      <c r="C94" s="7" t="s">
        <v>194</v>
      </c>
      <c r="D94" s="7" t="s">
        <v>98</v>
      </c>
      <c r="E94" s="7" t="s">
        <v>99</v>
      </c>
      <c r="F94" s="7">
        <v>1</v>
      </c>
      <c r="G94" s="7" t="s">
        <v>15</v>
      </c>
      <c r="H94" s="8">
        <v>55650</v>
      </c>
      <c r="I94" s="8">
        <v>55650</v>
      </c>
    </row>
    <row r="95" spans="1:9" x14ac:dyDescent="0.4">
      <c r="A95" s="7">
        <v>14.1</v>
      </c>
      <c r="B95" s="7" t="s">
        <v>166</v>
      </c>
      <c r="C95" s="7" t="s">
        <v>194</v>
      </c>
      <c r="D95" s="7" t="s">
        <v>200</v>
      </c>
      <c r="E95" s="7" t="s">
        <v>376</v>
      </c>
      <c r="F95" s="7">
        <v>5</v>
      </c>
      <c r="G95" s="7" t="s">
        <v>15</v>
      </c>
      <c r="H95" s="8">
        <v>234261</v>
      </c>
      <c r="I95" s="8">
        <v>1171305</v>
      </c>
    </row>
    <row r="96" spans="1:9" x14ac:dyDescent="0.4">
      <c r="A96" s="7">
        <v>14.2</v>
      </c>
      <c r="B96" s="7" t="s">
        <v>166</v>
      </c>
      <c r="C96" s="7" t="s">
        <v>194</v>
      </c>
      <c r="D96" s="7" t="s">
        <v>182</v>
      </c>
      <c r="E96" s="7" t="s">
        <v>374</v>
      </c>
      <c r="F96" s="7">
        <v>1</v>
      </c>
      <c r="G96" s="7" t="s">
        <v>15</v>
      </c>
      <c r="H96" s="8">
        <v>196298</v>
      </c>
      <c r="I96" s="8">
        <v>196298</v>
      </c>
    </row>
    <row r="97" spans="1:9" x14ac:dyDescent="0.4">
      <c r="A97" s="7">
        <v>14.3</v>
      </c>
      <c r="B97" s="7" t="s">
        <v>166</v>
      </c>
      <c r="C97" s="7" t="s">
        <v>194</v>
      </c>
      <c r="D97" s="7" t="s">
        <v>187</v>
      </c>
      <c r="E97" s="7" t="s">
        <v>375</v>
      </c>
      <c r="F97" s="7">
        <v>1</v>
      </c>
      <c r="G97" s="7" t="s">
        <v>15</v>
      </c>
      <c r="H97" s="8">
        <v>33134</v>
      </c>
      <c r="I97" s="8">
        <v>33134</v>
      </c>
    </row>
    <row r="98" spans="1:9" x14ac:dyDescent="0.4">
      <c r="A98" s="7">
        <v>14.4</v>
      </c>
      <c r="B98" s="7" t="s">
        <v>166</v>
      </c>
      <c r="C98" s="7" t="s">
        <v>194</v>
      </c>
      <c r="D98" s="7" t="s">
        <v>59</v>
      </c>
      <c r="F98" s="7">
        <v>2</v>
      </c>
      <c r="G98" s="7" t="s">
        <v>15</v>
      </c>
      <c r="H98" s="8">
        <v>15095</v>
      </c>
      <c r="I98" s="8">
        <v>30190</v>
      </c>
    </row>
    <row r="99" spans="1:9" x14ac:dyDescent="0.4">
      <c r="A99" s="7">
        <v>14.5</v>
      </c>
      <c r="B99" s="7" t="s">
        <v>166</v>
      </c>
      <c r="C99" s="7" t="s">
        <v>194</v>
      </c>
      <c r="D99" s="7" t="s">
        <v>98</v>
      </c>
      <c r="E99" s="7" t="s">
        <v>377</v>
      </c>
      <c r="F99" s="7">
        <v>1</v>
      </c>
      <c r="G99" s="7" t="s">
        <v>15</v>
      </c>
      <c r="H99" s="8">
        <v>55650</v>
      </c>
      <c r="I99" s="8">
        <v>55650</v>
      </c>
    </row>
    <row r="100" spans="1:9" x14ac:dyDescent="0.4">
      <c r="A100" s="7">
        <v>1</v>
      </c>
      <c r="B100" s="7" t="s">
        <v>202</v>
      </c>
      <c r="C100" s="7" t="s">
        <v>194</v>
      </c>
      <c r="D100" s="7" t="s">
        <v>203</v>
      </c>
      <c r="E100" s="7" t="s">
        <v>378</v>
      </c>
      <c r="F100" s="7">
        <v>4</v>
      </c>
      <c r="G100" s="7" t="s">
        <v>204</v>
      </c>
      <c r="H100" s="8">
        <v>28595</v>
      </c>
      <c r="I100" s="8">
        <v>114380</v>
      </c>
    </row>
    <row r="101" spans="1:9" x14ac:dyDescent="0.4">
      <c r="A101" s="7">
        <v>2</v>
      </c>
      <c r="B101" s="7" t="s">
        <v>202</v>
      </c>
      <c r="C101" s="7" t="s">
        <v>194</v>
      </c>
      <c r="D101" s="7" t="s">
        <v>379</v>
      </c>
      <c r="E101" s="7" t="s">
        <v>380</v>
      </c>
      <c r="F101" s="7">
        <v>33</v>
      </c>
      <c r="G101" s="7" t="s">
        <v>204</v>
      </c>
      <c r="H101" s="8">
        <v>20723</v>
      </c>
      <c r="I101" s="8">
        <v>683859</v>
      </c>
    </row>
    <row r="102" spans="1:9" x14ac:dyDescent="0.4">
      <c r="A102" s="7">
        <v>3</v>
      </c>
      <c r="B102" s="7" t="s">
        <v>202</v>
      </c>
      <c r="C102" s="7" t="s">
        <v>194</v>
      </c>
      <c r="D102" s="7" t="s">
        <v>224</v>
      </c>
      <c r="E102" s="7" t="s">
        <v>381</v>
      </c>
      <c r="F102" s="7">
        <v>33</v>
      </c>
      <c r="G102" s="7" t="s">
        <v>204</v>
      </c>
      <c r="H102" s="8">
        <v>5959</v>
      </c>
      <c r="I102" s="8">
        <v>196647</v>
      </c>
    </row>
    <row r="103" spans="1:9" x14ac:dyDescent="0.4">
      <c r="A103" s="7">
        <v>4</v>
      </c>
      <c r="B103" s="7" t="s">
        <v>202</v>
      </c>
      <c r="C103" s="7" t="s">
        <v>194</v>
      </c>
      <c r="D103" s="7" t="s">
        <v>382</v>
      </c>
      <c r="E103" s="7" t="s">
        <v>383</v>
      </c>
      <c r="F103" s="7">
        <v>4</v>
      </c>
      <c r="G103" s="7" t="s">
        <v>204</v>
      </c>
      <c r="H103" s="8">
        <v>7856</v>
      </c>
      <c r="I103" s="8">
        <v>31424</v>
      </c>
    </row>
    <row r="104" spans="1:9" x14ac:dyDescent="0.4">
      <c r="A104" s="7">
        <v>1</v>
      </c>
      <c r="B104" s="7" t="s">
        <v>202</v>
      </c>
      <c r="C104" s="7" t="s">
        <v>194</v>
      </c>
      <c r="D104" s="7" t="s">
        <v>203</v>
      </c>
      <c r="E104" s="7" t="s">
        <v>378</v>
      </c>
      <c r="F104" s="7">
        <v>8</v>
      </c>
      <c r="G104" s="7" t="s">
        <v>204</v>
      </c>
      <c r="H104" s="8">
        <v>28595</v>
      </c>
      <c r="I104" s="8">
        <v>228760</v>
      </c>
    </row>
    <row r="105" spans="1:9" x14ac:dyDescent="0.4">
      <c r="A105" s="7">
        <v>2</v>
      </c>
      <c r="B105" s="7" t="s">
        <v>202</v>
      </c>
      <c r="C105" s="7" t="s">
        <v>194</v>
      </c>
      <c r="D105" s="7" t="s">
        <v>379</v>
      </c>
      <c r="E105" s="7" t="s">
        <v>380</v>
      </c>
      <c r="F105" s="7">
        <v>28</v>
      </c>
      <c r="G105" s="7" t="s">
        <v>204</v>
      </c>
      <c r="H105" s="8">
        <v>20723</v>
      </c>
      <c r="I105" s="8">
        <v>580244</v>
      </c>
    </row>
    <row r="106" spans="1:9" x14ac:dyDescent="0.4">
      <c r="A106" s="7">
        <v>3</v>
      </c>
      <c r="B106" s="7" t="s">
        <v>202</v>
      </c>
      <c r="C106" s="7" t="s">
        <v>194</v>
      </c>
      <c r="D106" s="7" t="s">
        <v>224</v>
      </c>
      <c r="E106" s="7" t="s">
        <v>381</v>
      </c>
      <c r="F106" s="7">
        <v>28</v>
      </c>
      <c r="G106" s="7" t="s">
        <v>204</v>
      </c>
      <c r="H106" s="8">
        <v>5959</v>
      </c>
      <c r="I106" s="8">
        <v>166852</v>
      </c>
    </row>
    <row r="107" spans="1:9" x14ac:dyDescent="0.4">
      <c r="A107" s="7">
        <v>4</v>
      </c>
      <c r="B107" s="7" t="s">
        <v>202</v>
      </c>
      <c r="C107" s="7" t="s">
        <v>194</v>
      </c>
      <c r="D107" s="7" t="s">
        <v>382</v>
      </c>
      <c r="E107" s="7" t="s">
        <v>384</v>
      </c>
      <c r="F107" s="7">
        <v>8</v>
      </c>
      <c r="G107" s="7" t="s">
        <v>204</v>
      </c>
      <c r="H107" s="8">
        <v>7856</v>
      </c>
      <c r="I107" s="8">
        <v>62848</v>
      </c>
    </row>
    <row r="108" spans="1:9" x14ac:dyDescent="0.4">
      <c r="A108" s="7">
        <v>1</v>
      </c>
      <c r="B108" s="7" t="s">
        <v>231</v>
      </c>
      <c r="C108" s="7" t="s">
        <v>385</v>
      </c>
      <c r="D108" s="7" t="s">
        <v>386</v>
      </c>
      <c r="F108" s="7">
        <v>95</v>
      </c>
      <c r="G108" s="7" t="s">
        <v>234</v>
      </c>
      <c r="H108" s="8">
        <v>2783</v>
      </c>
      <c r="I108" s="8">
        <v>264385</v>
      </c>
    </row>
    <row r="109" spans="1:9" x14ac:dyDescent="0.4">
      <c r="A109" s="7">
        <v>1</v>
      </c>
      <c r="B109" s="7" t="s">
        <v>231</v>
      </c>
      <c r="C109" s="7" t="s">
        <v>385</v>
      </c>
      <c r="D109" s="7" t="s">
        <v>387</v>
      </c>
      <c r="F109" s="7">
        <v>13</v>
      </c>
      <c r="G109" s="7" t="s">
        <v>236</v>
      </c>
      <c r="H109" s="8">
        <v>870</v>
      </c>
      <c r="I109" s="8">
        <v>11310</v>
      </c>
    </row>
    <row r="110" spans="1:9" x14ac:dyDescent="0.4">
      <c r="A110" s="7">
        <v>1</v>
      </c>
      <c r="B110" s="7" t="s">
        <v>231</v>
      </c>
      <c r="C110" s="7" t="s">
        <v>385</v>
      </c>
      <c r="D110" s="7" t="s">
        <v>237</v>
      </c>
      <c r="F110" s="7">
        <v>4</v>
      </c>
      <c r="G110" s="7" t="s">
        <v>236</v>
      </c>
      <c r="H110" s="8">
        <v>2715</v>
      </c>
      <c r="I110" s="8">
        <v>10860</v>
      </c>
    </row>
    <row r="111" spans="1:9" x14ac:dyDescent="0.4">
      <c r="A111" s="7">
        <v>1</v>
      </c>
      <c r="B111" s="7" t="s">
        <v>231</v>
      </c>
      <c r="C111" s="7" t="s">
        <v>385</v>
      </c>
      <c r="D111" s="7" t="s">
        <v>388</v>
      </c>
      <c r="F111" s="7">
        <v>2</v>
      </c>
      <c r="G111" s="7" t="s">
        <v>236</v>
      </c>
      <c r="H111" s="8">
        <v>1566</v>
      </c>
      <c r="I111" s="8">
        <v>3132</v>
      </c>
    </row>
    <row r="112" spans="1:9" x14ac:dyDescent="0.4">
      <c r="A112" s="7">
        <v>1</v>
      </c>
      <c r="B112" s="7" t="s">
        <v>231</v>
      </c>
      <c r="C112" s="7" t="s">
        <v>385</v>
      </c>
      <c r="D112" s="7" t="s">
        <v>389</v>
      </c>
      <c r="F112" s="7">
        <v>26</v>
      </c>
      <c r="G112" s="7" t="s">
        <v>240</v>
      </c>
      <c r="H112" s="8">
        <v>495</v>
      </c>
      <c r="I112" s="8">
        <v>12870</v>
      </c>
    </row>
    <row r="113" spans="1:9" x14ac:dyDescent="0.4">
      <c r="A113" s="7">
        <v>1</v>
      </c>
      <c r="B113" s="7" t="s">
        <v>231</v>
      </c>
      <c r="C113" s="7" t="s">
        <v>385</v>
      </c>
      <c r="D113" s="7" t="s">
        <v>241</v>
      </c>
      <c r="F113" s="7">
        <v>8</v>
      </c>
      <c r="G113" s="7" t="s">
        <v>240</v>
      </c>
      <c r="H113" s="8">
        <v>1364</v>
      </c>
      <c r="I113" s="8">
        <v>10912</v>
      </c>
    </row>
    <row r="114" spans="1:9" x14ac:dyDescent="0.4">
      <c r="A114" s="7">
        <v>1</v>
      </c>
      <c r="B114" s="7" t="s">
        <v>231</v>
      </c>
      <c r="C114" s="7" t="s">
        <v>385</v>
      </c>
      <c r="D114" s="7" t="s">
        <v>242</v>
      </c>
      <c r="F114" s="7">
        <v>4</v>
      </c>
      <c r="G114" s="7" t="s">
        <v>240</v>
      </c>
      <c r="H114" s="8">
        <v>1108</v>
      </c>
      <c r="I114" s="8">
        <v>4432</v>
      </c>
    </row>
    <row r="115" spans="1:9" x14ac:dyDescent="0.4">
      <c r="A115" s="7">
        <v>1</v>
      </c>
      <c r="B115" s="7" t="s">
        <v>231</v>
      </c>
      <c r="C115" s="7" t="s">
        <v>390</v>
      </c>
      <c r="D115" s="7" t="s">
        <v>391</v>
      </c>
      <c r="F115" s="7">
        <v>1</v>
      </c>
      <c r="G115" s="7" t="s">
        <v>245</v>
      </c>
      <c r="H115" s="8">
        <v>61922</v>
      </c>
      <c r="I115" s="8">
        <v>61922</v>
      </c>
    </row>
    <row r="116" spans="1:9" x14ac:dyDescent="0.4">
      <c r="A116" s="7">
        <v>1</v>
      </c>
      <c r="B116" s="7" t="s">
        <v>231</v>
      </c>
      <c r="C116" s="7" t="s">
        <v>390</v>
      </c>
      <c r="D116" s="7" t="s">
        <v>392</v>
      </c>
      <c r="F116" s="7">
        <v>1</v>
      </c>
      <c r="G116" s="7" t="s">
        <v>245</v>
      </c>
      <c r="H116" s="8">
        <v>77924</v>
      </c>
      <c r="I116" s="8">
        <v>77924</v>
      </c>
    </row>
    <row r="117" spans="1:9" x14ac:dyDescent="0.4">
      <c r="A117" s="7">
        <v>1</v>
      </c>
      <c r="B117" s="7" t="s">
        <v>231</v>
      </c>
      <c r="C117" s="7" t="s">
        <v>390</v>
      </c>
      <c r="D117" s="7" t="s">
        <v>393</v>
      </c>
      <c r="F117" s="7">
        <v>1</v>
      </c>
      <c r="G117" s="7" t="s">
        <v>245</v>
      </c>
      <c r="H117" s="8">
        <v>50094</v>
      </c>
      <c r="I117" s="8">
        <v>50094</v>
      </c>
    </row>
    <row r="118" spans="1:9" x14ac:dyDescent="0.4">
      <c r="A118" s="7">
        <v>1</v>
      </c>
      <c r="B118" s="7" t="s">
        <v>231</v>
      </c>
      <c r="C118" s="7" t="s">
        <v>248</v>
      </c>
      <c r="D118" s="7" t="s">
        <v>394</v>
      </c>
      <c r="F118" s="7">
        <v>1</v>
      </c>
      <c r="G118" s="7" t="s">
        <v>236</v>
      </c>
      <c r="H118" s="8">
        <v>173938</v>
      </c>
      <c r="I118" s="8">
        <v>173938</v>
      </c>
    </row>
    <row r="119" spans="1:9" ht="189.45" x14ac:dyDescent="0.4">
      <c r="A119" s="7">
        <v>1</v>
      </c>
      <c r="B119" s="7" t="s">
        <v>231</v>
      </c>
      <c r="C119" s="9" t="s">
        <v>252</v>
      </c>
      <c r="D119" s="7" t="s">
        <v>395</v>
      </c>
      <c r="F119" s="7">
        <v>1</v>
      </c>
      <c r="G119" s="7" t="s">
        <v>236</v>
      </c>
      <c r="H119" s="8">
        <v>208725</v>
      </c>
      <c r="I119" s="8">
        <v>208725</v>
      </c>
    </row>
    <row r="120" spans="1:9" x14ac:dyDescent="0.4">
      <c r="A120" s="7">
        <v>1</v>
      </c>
      <c r="B120" s="7" t="s">
        <v>231</v>
      </c>
      <c r="C120" s="7" t="s">
        <v>396</v>
      </c>
      <c r="D120" s="7" t="s">
        <v>386</v>
      </c>
      <c r="F120" s="7">
        <v>600</v>
      </c>
      <c r="G120" s="7" t="s">
        <v>234</v>
      </c>
      <c r="H120" s="8">
        <v>2783</v>
      </c>
      <c r="I120" s="8">
        <v>1669800</v>
      </c>
    </row>
    <row r="121" spans="1:9" x14ac:dyDescent="0.4">
      <c r="A121" s="7">
        <v>1</v>
      </c>
      <c r="B121" s="7" t="s">
        <v>231</v>
      </c>
      <c r="C121" s="7" t="s">
        <v>396</v>
      </c>
      <c r="D121" s="7" t="s">
        <v>387</v>
      </c>
      <c r="F121" s="7">
        <v>28</v>
      </c>
      <c r="G121" s="7" t="s">
        <v>236</v>
      </c>
      <c r="H121" s="8">
        <v>870</v>
      </c>
      <c r="I121" s="8">
        <v>24360</v>
      </c>
    </row>
    <row r="122" spans="1:9" x14ac:dyDescent="0.4">
      <c r="A122" s="7">
        <v>1</v>
      </c>
      <c r="B122" s="7" t="s">
        <v>231</v>
      </c>
      <c r="C122" s="7" t="s">
        <v>396</v>
      </c>
      <c r="D122" s="7" t="s">
        <v>237</v>
      </c>
      <c r="F122" s="7">
        <v>34</v>
      </c>
      <c r="G122" s="7" t="s">
        <v>236</v>
      </c>
      <c r="H122" s="8">
        <v>2715</v>
      </c>
      <c r="I122" s="8">
        <v>92310</v>
      </c>
    </row>
    <row r="123" spans="1:9" x14ac:dyDescent="0.4">
      <c r="A123" s="7">
        <v>1</v>
      </c>
      <c r="B123" s="7" t="s">
        <v>231</v>
      </c>
      <c r="C123" s="7" t="s">
        <v>396</v>
      </c>
      <c r="D123" s="7" t="s">
        <v>389</v>
      </c>
      <c r="F123" s="7">
        <v>56</v>
      </c>
      <c r="G123" s="7" t="s">
        <v>240</v>
      </c>
      <c r="H123" s="8">
        <v>495</v>
      </c>
      <c r="I123" s="8">
        <v>27720</v>
      </c>
    </row>
    <row r="124" spans="1:9" x14ac:dyDescent="0.4">
      <c r="A124" s="7">
        <v>1</v>
      </c>
      <c r="B124" s="7" t="s">
        <v>231</v>
      </c>
      <c r="C124" s="7" t="s">
        <v>396</v>
      </c>
      <c r="D124" s="7" t="s">
        <v>241</v>
      </c>
      <c r="F124" s="7">
        <v>68</v>
      </c>
      <c r="G124" s="7" t="s">
        <v>240</v>
      </c>
      <c r="H124" s="8">
        <v>1364</v>
      </c>
      <c r="I124" s="8">
        <v>92752</v>
      </c>
    </row>
    <row r="125" spans="1:9" x14ac:dyDescent="0.4">
      <c r="A125" s="7">
        <v>1</v>
      </c>
      <c r="B125" s="7" t="s">
        <v>231</v>
      </c>
      <c r="C125" s="7" t="s">
        <v>390</v>
      </c>
      <c r="D125" s="7" t="s">
        <v>397</v>
      </c>
      <c r="F125" s="7">
        <v>2</v>
      </c>
      <c r="G125" s="7" t="s">
        <v>245</v>
      </c>
      <c r="H125" s="8">
        <v>105754</v>
      </c>
      <c r="I125" s="8">
        <v>211508</v>
      </c>
    </row>
    <row r="126" spans="1:9" x14ac:dyDescent="0.4">
      <c r="A126" s="7">
        <v>1</v>
      </c>
      <c r="B126" s="7" t="s">
        <v>231</v>
      </c>
      <c r="C126" s="7" t="s">
        <v>390</v>
      </c>
      <c r="D126" s="7" t="s">
        <v>398</v>
      </c>
      <c r="F126" s="7">
        <v>6</v>
      </c>
      <c r="G126" s="7" t="s">
        <v>245</v>
      </c>
      <c r="H126" s="8">
        <v>77924</v>
      </c>
      <c r="I126" s="8">
        <v>467544</v>
      </c>
    </row>
    <row r="127" spans="1:9" x14ac:dyDescent="0.4">
      <c r="A127" s="7">
        <v>1</v>
      </c>
      <c r="B127" s="7" t="s">
        <v>231</v>
      </c>
      <c r="C127" s="7" t="s">
        <v>390</v>
      </c>
      <c r="D127" s="7" t="s">
        <v>399</v>
      </c>
      <c r="F127" s="7">
        <v>1</v>
      </c>
      <c r="G127" s="7" t="s">
        <v>245</v>
      </c>
      <c r="H127" s="8">
        <v>50094</v>
      </c>
      <c r="I127" s="8">
        <v>50094</v>
      </c>
    </row>
    <row r="128" spans="1:9" x14ac:dyDescent="0.4">
      <c r="A128" s="7">
        <v>1</v>
      </c>
      <c r="B128" s="7" t="s">
        <v>231</v>
      </c>
      <c r="C128" s="7" t="s">
        <v>248</v>
      </c>
      <c r="D128" s="7" t="s">
        <v>400</v>
      </c>
      <c r="F128" s="7">
        <v>2</v>
      </c>
      <c r="G128" s="7" t="s">
        <v>236</v>
      </c>
      <c r="H128" s="8">
        <v>229598</v>
      </c>
      <c r="I128" s="8">
        <v>459196</v>
      </c>
    </row>
    <row r="129" spans="1:9" ht="189.45" x14ac:dyDescent="0.4">
      <c r="A129" s="7">
        <v>1</v>
      </c>
      <c r="B129" s="7" t="s">
        <v>231</v>
      </c>
      <c r="C129" s="9" t="s">
        <v>262</v>
      </c>
      <c r="D129" s="7" t="s">
        <v>401</v>
      </c>
      <c r="F129" s="7">
        <v>6</v>
      </c>
      <c r="G129" s="7" t="s">
        <v>236</v>
      </c>
      <c r="H129" s="8">
        <v>215683</v>
      </c>
      <c r="I129" s="8">
        <v>1294098</v>
      </c>
    </row>
    <row r="130" spans="1:9" ht="189.45" x14ac:dyDescent="0.4">
      <c r="A130" s="7">
        <v>1</v>
      </c>
      <c r="B130" s="7" t="s">
        <v>231</v>
      </c>
      <c r="C130" s="9" t="s">
        <v>264</v>
      </c>
      <c r="D130" s="7" t="s">
        <v>402</v>
      </c>
      <c r="F130" s="7">
        <v>1</v>
      </c>
      <c r="G130" s="7" t="s">
        <v>236</v>
      </c>
      <c r="H130" s="8">
        <v>168594</v>
      </c>
      <c r="I130" s="8">
        <v>168594</v>
      </c>
    </row>
    <row r="131" spans="1:9" x14ac:dyDescent="0.4">
      <c r="A131" s="7">
        <v>1</v>
      </c>
      <c r="B131" s="7" t="s">
        <v>269</v>
      </c>
      <c r="C131" s="7" t="s">
        <v>403</v>
      </c>
      <c r="D131" s="7" t="s">
        <v>271</v>
      </c>
      <c r="F131" s="7">
        <v>2</v>
      </c>
      <c r="G131" s="7" t="s">
        <v>272</v>
      </c>
      <c r="H131" s="8">
        <v>32331</v>
      </c>
      <c r="I131" s="8">
        <v>64662</v>
      </c>
    </row>
    <row r="132" spans="1:9" x14ac:dyDescent="0.4">
      <c r="A132" s="7">
        <v>2</v>
      </c>
      <c r="B132" s="7" t="s">
        <v>269</v>
      </c>
      <c r="C132" s="7" t="s">
        <v>403</v>
      </c>
      <c r="D132" s="7" t="s">
        <v>273</v>
      </c>
      <c r="F132" s="7">
        <v>8</v>
      </c>
      <c r="G132" s="7" t="s">
        <v>272</v>
      </c>
      <c r="H132" s="8">
        <v>10881</v>
      </c>
      <c r="I132" s="8">
        <v>87048</v>
      </c>
    </row>
    <row r="133" spans="1:9" x14ac:dyDescent="0.4">
      <c r="A133" s="7">
        <v>3</v>
      </c>
      <c r="B133" s="7" t="s">
        <v>269</v>
      </c>
      <c r="C133" s="7" t="s">
        <v>403</v>
      </c>
      <c r="D133" s="7" t="s">
        <v>274</v>
      </c>
      <c r="F133" s="7">
        <v>8</v>
      </c>
      <c r="G133" s="7" t="s">
        <v>204</v>
      </c>
      <c r="H133" s="8">
        <v>5031</v>
      </c>
      <c r="I133" s="8">
        <v>40248</v>
      </c>
    </row>
    <row r="134" spans="1:9" x14ac:dyDescent="0.4">
      <c r="A134" s="7">
        <v>4</v>
      </c>
      <c r="B134" s="7" t="s">
        <v>269</v>
      </c>
      <c r="C134" s="7" t="s">
        <v>403</v>
      </c>
      <c r="D134" s="7" t="s">
        <v>275</v>
      </c>
      <c r="F134" s="7">
        <v>8</v>
      </c>
      <c r="G134" s="7" t="s">
        <v>204</v>
      </c>
      <c r="H134" s="8">
        <v>1196</v>
      </c>
      <c r="I134" s="8">
        <v>9568</v>
      </c>
    </row>
    <row r="135" spans="1:9" x14ac:dyDescent="0.4">
      <c r="A135" s="7">
        <v>5</v>
      </c>
      <c r="B135" s="7" t="s">
        <v>269</v>
      </c>
      <c r="C135" s="7" t="s">
        <v>403</v>
      </c>
      <c r="D135" s="7" t="s">
        <v>276</v>
      </c>
      <c r="F135" s="7">
        <v>600</v>
      </c>
      <c r="G135" s="7" t="s">
        <v>240</v>
      </c>
      <c r="H135" s="8">
        <v>82</v>
      </c>
      <c r="I135" s="8">
        <v>49200</v>
      </c>
    </row>
    <row r="136" spans="1:9" x14ac:dyDescent="0.4">
      <c r="A136" s="7">
        <v>6</v>
      </c>
      <c r="B136" s="7" t="s">
        <v>269</v>
      </c>
      <c r="C136" s="7" t="s">
        <v>403</v>
      </c>
      <c r="D136" s="7" t="s">
        <v>277</v>
      </c>
      <c r="F136" s="7">
        <v>250</v>
      </c>
      <c r="G136" s="7" t="s">
        <v>204</v>
      </c>
      <c r="H136" s="8">
        <v>62</v>
      </c>
      <c r="I136" s="8">
        <v>15500</v>
      </c>
    </row>
    <row r="137" spans="1:9" x14ac:dyDescent="0.4">
      <c r="A137" s="7">
        <v>7</v>
      </c>
      <c r="B137" s="7" t="s">
        <v>269</v>
      </c>
      <c r="C137" s="7" t="s">
        <v>403</v>
      </c>
      <c r="D137" s="7" t="s">
        <v>278</v>
      </c>
      <c r="F137" s="7">
        <v>32</v>
      </c>
      <c r="G137" s="7" t="s">
        <v>204</v>
      </c>
      <c r="H137" s="8">
        <v>351</v>
      </c>
      <c r="I137" s="8">
        <v>11232</v>
      </c>
    </row>
    <row r="138" spans="1:9" x14ac:dyDescent="0.4">
      <c r="A138" s="7">
        <v>8</v>
      </c>
      <c r="B138" s="7" t="s">
        <v>269</v>
      </c>
      <c r="C138" s="7" t="s">
        <v>403</v>
      </c>
      <c r="D138" s="7" t="s">
        <v>404</v>
      </c>
      <c r="F138" s="7">
        <v>8</v>
      </c>
      <c r="G138" s="7" t="s">
        <v>204</v>
      </c>
      <c r="H138" s="8">
        <v>351</v>
      </c>
      <c r="I138" s="8">
        <v>2808</v>
      </c>
    </row>
    <row r="139" spans="1:9" x14ac:dyDescent="0.4">
      <c r="A139" s="7">
        <v>9</v>
      </c>
      <c r="B139" s="7" t="s">
        <v>269</v>
      </c>
      <c r="C139" s="7" t="s">
        <v>403</v>
      </c>
      <c r="D139" s="7" t="s">
        <v>405</v>
      </c>
      <c r="F139" s="7">
        <v>8</v>
      </c>
      <c r="G139" s="7" t="s">
        <v>204</v>
      </c>
      <c r="H139" s="8">
        <v>5031</v>
      </c>
      <c r="I139" s="8">
        <v>40248</v>
      </c>
    </row>
    <row r="140" spans="1:9" x14ac:dyDescent="0.4">
      <c r="A140" s="7">
        <v>10</v>
      </c>
      <c r="B140" s="7" t="s">
        <v>269</v>
      </c>
      <c r="C140" s="7" t="s">
        <v>403</v>
      </c>
      <c r="D140" s="7" t="s">
        <v>406</v>
      </c>
      <c r="F140" s="7">
        <v>8</v>
      </c>
      <c r="G140" s="7" t="s">
        <v>204</v>
      </c>
      <c r="H140" s="8">
        <v>5031</v>
      </c>
      <c r="I140" s="8">
        <v>40248</v>
      </c>
    </row>
    <row r="141" spans="1:9" x14ac:dyDescent="0.4">
      <c r="A141" s="7">
        <v>11</v>
      </c>
      <c r="B141" s="7" t="s">
        <v>269</v>
      </c>
      <c r="C141" s="7" t="s">
        <v>403</v>
      </c>
      <c r="D141" s="7" t="s">
        <v>282</v>
      </c>
      <c r="F141" s="7">
        <v>16</v>
      </c>
      <c r="G141" s="7" t="s">
        <v>204</v>
      </c>
      <c r="H141" s="8">
        <v>1261</v>
      </c>
      <c r="I141" s="8">
        <v>20176</v>
      </c>
    </row>
    <row r="142" spans="1:9" x14ac:dyDescent="0.4">
      <c r="A142" s="7">
        <v>12</v>
      </c>
      <c r="B142" s="7" t="s">
        <v>269</v>
      </c>
      <c r="C142" s="7" t="s">
        <v>403</v>
      </c>
      <c r="D142" s="7" t="s">
        <v>283</v>
      </c>
      <c r="F142" s="7">
        <v>16</v>
      </c>
      <c r="G142" s="7" t="s">
        <v>204</v>
      </c>
      <c r="H142" s="8">
        <v>611</v>
      </c>
      <c r="I142" s="8">
        <v>9776</v>
      </c>
    </row>
    <row r="143" spans="1:9" x14ac:dyDescent="0.4">
      <c r="A143" s="7">
        <v>13</v>
      </c>
      <c r="B143" s="7" t="s">
        <v>269</v>
      </c>
      <c r="C143" s="7" t="s">
        <v>403</v>
      </c>
      <c r="D143" s="7" t="s">
        <v>284</v>
      </c>
      <c r="F143" s="7">
        <v>120</v>
      </c>
      <c r="G143" s="7" t="s">
        <v>285</v>
      </c>
      <c r="H143" s="8">
        <v>160</v>
      </c>
      <c r="I143" s="8">
        <v>19200</v>
      </c>
    </row>
    <row r="144" spans="1:9" x14ac:dyDescent="0.4">
      <c r="A144" s="7">
        <v>1</v>
      </c>
      <c r="B144" s="7" t="s">
        <v>269</v>
      </c>
      <c r="C144" s="7" t="s">
        <v>407</v>
      </c>
      <c r="D144" s="7" t="s">
        <v>287</v>
      </c>
      <c r="F144" s="7">
        <v>1</v>
      </c>
      <c r="G144" s="7" t="s">
        <v>204</v>
      </c>
      <c r="H144" s="8">
        <v>351</v>
      </c>
      <c r="I144" s="8">
        <v>351</v>
      </c>
    </row>
    <row r="145" spans="1:9" x14ac:dyDescent="0.4">
      <c r="A145" s="7">
        <v>2</v>
      </c>
      <c r="B145" s="7" t="s">
        <v>269</v>
      </c>
      <c r="C145" s="7" t="s">
        <v>407</v>
      </c>
      <c r="D145" s="7" t="s">
        <v>288</v>
      </c>
      <c r="F145" s="7">
        <v>1</v>
      </c>
      <c r="G145" s="7" t="s">
        <v>204</v>
      </c>
      <c r="H145" s="8">
        <v>11409</v>
      </c>
      <c r="I145" s="8">
        <v>11409</v>
      </c>
    </row>
    <row r="146" spans="1:9" x14ac:dyDescent="0.4">
      <c r="A146" s="7">
        <v>3</v>
      </c>
      <c r="B146" s="7" t="s">
        <v>269</v>
      </c>
      <c r="C146" s="7" t="s">
        <v>407</v>
      </c>
      <c r="D146" s="7" t="s">
        <v>289</v>
      </c>
      <c r="F146" s="7">
        <v>1</v>
      </c>
      <c r="G146" s="7" t="s">
        <v>204</v>
      </c>
      <c r="H146" s="8">
        <v>1131</v>
      </c>
      <c r="I146" s="8">
        <v>1131</v>
      </c>
    </row>
    <row r="147" spans="1:9" x14ac:dyDescent="0.4">
      <c r="A147" s="7">
        <v>4</v>
      </c>
      <c r="B147" s="7" t="s">
        <v>269</v>
      </c>
      <c r="C147" s="7" t="s">
        <v>407</v>
      </c>
      <c r="D147" s="7" t="s">
        <v>290</v>
      </c>
      <c r="F147" s="7">
        <v>1</v>
      </c>
      <c r="G147" s="7" t="s">
        <v>204</v>
      </c>
      <c r="H147" s="8">
        <v>351</v>
      </c>
      <c r="I147" s="8">
        <v>351</v>
      </c>
    </row>
    <row r="148" spans="1:9" x14ac:dyDescent="0.4">
      <c r="A148" s="7">
        <v>5</v>
      </c>
      <c r="B148" s="7" t="s">
        <v>269</v>
      </c>
      <c r="C148" s="7" t="s">
        <v>407</v>
      </c>
      <c r="D148" s="7" t="s">
        <v>291</v>
      </c>
      <c r="F148" s="7">
        <v>1</v>
      </c>
      <c r="G148" s="7" t="s">
        <v>204</v>
      </c>
      <c r="H148" s="8">
        <v>5031</v>
      </c>
      <c r="I148" s="8">
        <v>5031</v>
      </c>
    </row>
    <row r="149" spans="1:9" x14ac:dyDescent="0.4">
      <c r="A149" s="7">
        <v>6</v>
      </c>
      <c r="B149" s="7" t="s">
        <v>269</v>
      </c>
      <c r="C149" s="7" t="s">
        <v>407</v>
      </c>
      <c r="D149" s="7" t="s">
        <v>292</v>
      </c>
      <c r="F149" s="7">
        <v>1</v>
      </c>
      <c r="G149" s="7" t="s">
        <v>204</v>
      </c>
      <c r="H149" s="8">
        <v>5031</v>
      </c>
      <c r="I149" s="8">
        <v>5031</v>
      </c>
    </row>
    <row r="150" spans="1:9" x14ac:dyDescent="0.4">
      <c r="A150" s="7">
        <v>7</v>
      </c>
      <c r="B150" s="7" t="s">
        <v>269</v>
      </c>
      <c r="C150" s="7" t="s">
        <v>407</v>
      </c>
      <c r="D150" s="7" t="s">
        <v>293</v>
      </c>
      <c r="F150" s="7">
        <v>2</v>
      </c>
      <c r="G150" s="7" t="s">
        <v>204</v>
      </c>
      <c r="H150" s="8">
        <v>1261</v>
      </c>
      <c r="I150" s="8">
        <v>2522</v>
      </c>
    </row>
    <row r="151" spans="1:9" x14ac:dyDescent="0.4">
      <c r="A151" s="7">
        <v>8</v>
      </c>
      <c r="B151" s="7" t="s">
        <v>269</v>
      </c>
      <c r="C151" s="7" t="s">
        <v>407</v>
      </c>
      <c r="D151" s="7" t="s">
        <v>294</v>
      </c>
      <c r="F151" s="7">
        <v>2</v>
      </c>
      <c r="G151" s="7" t="s">
        <v>204</v>
      </c>
      <c r="H151" s="8">
        <v>611</v>
      </c>
      <c r="I151" s="8">
        <v>1222</v>
      </c>
    </row>
    <row r="152" spans="1:9" x14ac:dyDescent="0.4">
      <c r="A152" s="7">
        <v>9</v>
      </c>
      <c r="B152" s="7" t="s">
        <v>269</v>
      </c>
      <c r="C152" s="7" t="s">
        <v>407</v>
      </c>
      <c r="D152" s="7" t="s">
        <v>295</v>
      </c>
      <c r="F152" s="7">
        <v>1</v>
      </c>
      <c r="G152" s="7" t="s">
        <v>204</v>
      </c>
      <c r="H152" s="8">
        <v>4381</v>
      </c>
      <c r="I152" s="8">
        <v>4381</v>
      </c>
    </row>
    <row r="153" spans="1:9" x14ac:dyDescent="0.4">
      <c r="A153" s="7">
        <v>10</v>
      </c>
      <c r="B153" s="7" t="s">
        <v>269</v>
      </c>
      <c r="C153" s="7" t="s">
        <v>407</v>
      </c>
      <c r="D153" s="7" t="s">
        <v>296</v>
      </c>
      <c r="F153" s="7">
        <v>50</v>
      </c>
      <c r="G153" s="7" t="s">
        <v>297</v>
      </c>
      <c r="H153" s="8">
        <v>82</v>
      </c>
      <c r="I153" s="8">
        <v>4100</v>
      </c>
    </row>
    <row r="154" spans="1:9" x14ac:dyDescent="0.4">
      <c r="A154" s="7">
        <v>11</v>
      </c>
      <c r="B154" s="7" t="s">
        <v>269</v>
      </c>
      <c r="C154" s="7" t="s">
        <v>407</v>
      </c>
      <c r="D154" s="7" t="s">
        <v>284</v>
      </c>
      <c r="F154" s="7">
        <v>32</v>
      </c>
      <c r="G154" s="7" t="s">
        <v>285</v>
      </c>
      <c r="H154" s="8">
        <v>160</v>
      </c>
      <c r="I154" s="8">
        <v>5120</v>
      </c>
    </row>
    <row r="155" spans="1:9" x14ac:dyDescent="0.4">
      <c r="A155" s="7">
        <v>4</v>
      </c>
      <c r="B155" s="7" t="s">
        <v>269</v>
      </c>
      <c r="C155" s="7" t="s">
        <v>407</v>
      </c>
      <c r="D155" s="7" t="s">
        <v>298</v>
      </c>
      <c r="E155" s="7" t="s">
        <v>302</v>
      </c>
      <c r="F155" s="7">
        <v>1</v>
      </c>
      <c r="G155" s="7" t="s">
        <v>299</v>
      </c>
      <c r="H155" s="8">
        <v>706800</v>
      </c>
      <c r="I155" s="8">
        <v>706800</v>
      </c>
    </row>
    <row r="156" spans="1:9" x14ac:dyDescent="0.4">
      <c r="A156" s="7">
        <v>5</v>
      </c>
      <c r="B156" s="7" t="s">
        <v>269</v>
      </c>
      <c r="C156" s="7" t="s">
        <v>407</v>
      </c>
      <c r="D156" s="7" t="s">
        <v>408</v>
      </c>
      <c r="E156" s="7" t="s">
        <v>302</v>
      </c>
      <c r="F156" s="7">
        <v>1</v>
      </c>
      <c r="G156" s="7" t="s">
        <v>299</v>
      </c>
      <c r="H156" s="8">
        <v>706800</v>
      </c>
      <c r="I156" s="8">
        <v>706800</v>
      </c>
    </row>
    <row r="157" spans="1:9" x14ac:dyDescent="0.4">
      <c r="A157" s="7">
        <v>6</v>
      </c>
      <c r="B157" s="7" t="s">
        <v>269</v>
      </c>
      <c r="C157" s="7" t="s">
        <v>407</v>
      </c>
      <c r="D157" s="7" t="s">
        <v>303</v>
      </c>
      <c r="E157" s="7" t="s">
        <v>304</v>
      </c>
      <c r="F157" s="7">
        <v>1</v>
      </c>
      <c r="G157" s="7" t="s">
        <v>299</v>
      </c>
      <c r="H157" s="8">
        <v>1071600</v>
      </c>
      <c r="I157" s="8">
        <v>1071600</v>
      </c>
    </row>
    <row r="158" spans="1:9" x14ac:dyDescent="0.4">
      <c r="A158" s="7">
        <v>7</v>
      </c>
      <c r="B158" s="7" t="s">
        <v>269</v>
      </c>
      <c r="C158" s="7" t="s">
        <v>407</v>
      </c>
      <c r="D158" s="7" t="s">
        <v>409</v>
      </c>
      <c r="E158" s="7" t="s">
        <v>306</v>
      </c>
      <c r="F158" s="7">
        <v>1</v>
      </c>
      <c r="G158" s="7" t="s">
        <v>299</v>
      </c>
      <c r="H158" s="8">
        <v>529200</v>
      </c>
      <c r="I158" s="8">
        <v>529200</v>
      </c>
    </row>
    <row r="159" spans="1:9" x14ac:dyDescent="0.4">
      <c r="A159" s="7">
        <v>8</v>
      </c>
      <c r="B159" s="7" t="s">
        <v>269</v>
      </c>
      <c r="C159" s="7" t="s">
        <v>407</v>
      </c>
      <c r="D159" s="7" t="s">
        <v>307</v>
      </c>
      <c r="E159" s="7" t="s">
        <v>410</v>
      </c>
      <c r="F159" s="7">
        <v>1</v>
      </c>
      <c r="G159" s="7" t="s">
        <v>299</v>
      </c>
      <c r="H159" s="8">
        <v>224400</v>
      </c>
      <c r="I159" s="8">
        <v>224400</v>
      </c>
    </row>
    <row r="160" spans="1:9" x14ac:dyDescent="0.4">
      <c r="A160" s="7" t="s">
        <v>316</v>
      </c>
      <c r="B160" s="7" t="s">
        <v>314</v>
      </c>
      <c r="C160" s="7" t="s">
        <v>411</v>
      </c>
      <c r="D160" s="7" t="s">
        <v>317</v>
      </c>
      <c r="F160" s="7">
        <v>150</v>
      </c>
      <c r="H160" s="8">
        <v>1680</v>
      </c>
      <c r="I160" s="8">
        <v>252000</v>
      </c>
    </row>
    <row r="161" spans="1:9" x14ac:dyDescent="0.4">
      <c r="A161" s="7" t="s">
        <v>318</v>
      </c>
      <c r="B161" s="7" t="s">
        <v>314</v>
      </c>
      <c r="C161" s="7" t="s">
        <v>411</v>
      </c>
      <c r="D161" s="7" t="s">
        <v>319</v>
      </c>
      <c r="F161" s="7">
        <v>120</v>
      </c>
      <c r="H161" s="8">
        <v>1440</v>
      </c>
      <c r="I161" s="8">
        <v>172800</v>
      </c>
    </row>
    <row r="162" spans="1:9" x14ac:dyDescent="0.4">
      <c r="A162" s="7" t="s">
        <v>320</v>
      </c>
      <c r="B162" s="7" t="s">
        <v>314</v>
      </c>
      <c r="C162" s="7" t="s">
        <v>411</v>
      </c>
      <c r="D162" s="7" t="s">
        <v>321</v>
      </c>
      <c r="F162" s="7">
        <v>170</v>
      </c>
      <c r="H162" s="8">
        <v>1068</v>
      </c>
      <c r="I162" s="8">
        <v>181560</v>
      </c>
    </row>
    <row r="163" spans="1:9" x14ac:dyDescent="0.4">
      <c r="A163" s="7">
        <v>2</v>
      </c>
      <c r="B163" s="7" t="s">
        <v>314</v>
      </c>
      <c r="C163" s="7" t="s">
        <v>411</v>
      </c>
      <c r="D163" s="7" t="s">
        <v>322</v>
      </c>
      <c r="F163" s="7">
        <v>3</v>
      </c>
      <c r="G163" s="7" t="s">
        <v>204</v>
      </c>
      <c r="H163" s="8">
        <v>990</v>
      </c>
      <c r="I163" s="8">
        <v>2970</v>
      </c>
    </row>
    <row r="164" spans="1:9" x14ac:dyDescent="0.4">
      <c r="A164" s="7">
        <v>3</v>
      </c>
      <c r="B164" s="7" t="s">
        <v>314</v>
      </c>
      <c r="C164" s="7" t="s">
        <v>411</v>
      </c>
      <c r="D164" s="7" t="s">
        <v>323</v>
      </c>
      <c r="F164" s="7">
        <v>23</v>
      </c>
      <c r="G164" s="7" t="s">
        <v>204</v>
      </c>
      <c r="H164" s="8">
        <v>792</v>
      </c>
      <c r="I164" s="8">
        <v>18216</v>
      </c>
    </row>
    <row r="165" spans="1:9" ht="160.30000000000001" x14ac:dyDescent="0.4">
      <c r="A165" s="7">
        <v>4</v>
      </c>
      <c r="B165" s="7" t="s">
        <v>314</v>
      </c>
      <c r="C165" s="7" t="s">
        <v>411</v>
      </c>
      <c r="D165" s="9" t="s">
        <v>412</v>
      </c>
      <c r="F165" s="7">
        <v>8</v>
      </c>
      <c r="H165" s="8">
        <v>9900</v>
      </c>
      <c r="I165" s="8">
        <v>79200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14702-6E6F-4395-9C19-2651B8A34068}">
  <dimension ref="A3:D59"/>
  <sheetViews>
    <sheetView topLeftCell="A50" workbookViewId="0"/>
  </sheetViews>
  <sheetFormatPr defaultRowHeight="14.6" x14ac:dyDescent="0.4"/>
  <cols>
    <col min="1" max="1" width="14.53515625" bestFit="1" customWidth="1"/>
    <col min="2" max="2" width="10.4609375" bestFit="1" customWidth="1"/>
    <col min="3" max="3" width="17.69140625" customWidth="1"/>
    <col min="4" max="4" width="14.765625" customWidth="1"/>
  </cols>
  <sheetData>
    <row r="3" spans="1:4" x14ac:dyDescent="0.4">
      <c r="A3" s="10" t="s">
        <v>0</v>
      </c>
      <c r="B3" s="10" t="s">
        <v>325</v>
      </c>
      <c r="C3" t="s">
        <v>414</v>
      </c>
      <c r="D3" t="s">
        <v>415</v>
      </c>
    </row>
    <row r="4" spans="1:4" x14ac:dyDescent="0.4">
      <c r="A4" t="s">
        <v>12</v>
      </c>
      <c r="B4" t="s">
        <v>97</v>
      </c>
      <c r="C4" s="4">
        <v>313000</v>
      </c>
      <c r="D4" s="4"/>
    </row>
    <row r="5" spans="1:4" x14ac:dyDescent="0.4">
      <c r="B5" t="s">
        <v>102</v>
      </c>
      <c r="C5" s="4">
        <v>193500</v>
      </c>
      <c r="D5" s="4"/>
    </row>
    <row r="6" spans="1:4" x14ac:dyDescent="0.4">
      <c r="B6" t="s">
        <v>146</v>
      </c>
      <c r="C6" s="4">
        <v>49356</v>
      </c>
      <c r="D6" s="4"/>
    </row>
    <row r="7" spans="1:4" x14ac:dyDescent="0.4">
      <c r="B7" t="s">
        <v>60</v>
      </c>
      <c r="C7" s="4">
        <v>305723</v>
      </c>
      <c r="D7" s="4"/>
    </row>
    <row r="8" spans="1:4" x14ac:dyDescent="0.4">
      <c r="B8" t="s">
        <v>70</v>
      </c>
      <c r="C8" s="4">
        <v>317440</v>
      </c>
      <c r="D8" s="4"/>
    </row>
    <row r="9" spans="1:4" x14ac:dyDescent="0.4">
      <c r="B9" t="s">
        <v>92</v>
      </c>
      <c r="C9" s="4">
        <v>67414</v>
      </c>
      <c r="D9" s="4"/>
    </row>
    <row r="10" spans="1:4" x14ac:dyDescent="0.4">
      <c r="B10" t="s">
        <v>156</v>
      </c>
      <c r="C10" s="4">
        <v>139400</v>
      </c>
      <c r="D10" s="4"/>
    </row>
    <row r="11" spans="1:4" x14ac:dyDescent="0.4">
      <c r="B11" t="s">
        <v>106</v>
      </c>
      <c r="C11" s="4">
        <v>234000</v>
      </c>
      <c r="D11" s="4"/>
    </row>
    <row r="12" spans="1:4" x14ac:dyDescent="0.4">
      <c r="B12" t="s">
        <v>122</v>
      </c>
      <c r="C12" s="4">
        <v>444295</v>
      </c>
      <c r="D12" s="4"/>
    </row>
    <row r="13" spans="1:4" x14ac:dyDescent="0.4">
      <c r="B13" t="s">
        <v>42</v>
      </c>
      <c r="C13" s="4">
        <v>223157</v>
      </c>
      <c r="D13" s="4"/>
    </row>
    <row r="14" spans="1:4" x14ac:dyDescent="0.4">
      <c r="B14" t="s">
        <v>13</v>
      </c>
      <c r="C14" s="4">
        <v>627162</v>
      </c>
      <c r="D14" s="4"/>
    </row>
    <row r="15" spans="1:4" x14ac:dyDescent="0.4">
      <c r="B15" t="s">
        <v>113</v>
      </c>
      <c r="C15" s="4">
        <v>46900</v>
      </c>
      <c r="D15" s="4"/>
    </row>
    <row r="16" spans="1:4" x14ac:dyDescent="0.4">
      <c r="B16" t="s">
        <v>108</v>
      </c>
      <c r="C16" s="4">
        <v>137363</v>
      </c>
      <c r="D16" s="4"/>
    </row>
    <row r="17" spans="1:4" x14ac:dyDescent="0.4">
      <c r="B17" t="s">
        <v>120</v>
      </c>
      <c r="C17" s="4">
        <v>83964</v>
      </c>
      <c r="D17" s="4"/>
    </row>
    <row r="18" spans="1:4" x14ac:dyDescent="0.4">
      <c r="B18" t="s">
        <v>154</v>
      </c>
      <c r="C18" s="4">
        <v>41532</v>
      </c>
      <c r="D18" s="4"/>
    </row>
    <row r="19" spans="1:4" x14ac:dyDescent="0.4">
      <c r="B19" t="s">
        <v>114</v>
      </c>
      <c r="C19" s="4">
        <v>84864</v>
      </c>
      <c r="D19" s="4"/>
    </row>
    <row r="20" spans="1:4" x14ac:dyDescent="0.4">
      <c r="B20" t="s">
        <v>150</v>
      </c>
      <c r="C20" s="4">
        <v>27723</v>
      </c>
      <c r="D20" s="4"/>
    </row>
    <row r="21" spans="1:4" x14ac:dyDescent="0.4">
      <c r="B21" t="s">
        <v>160</v>
      </c>
      <c r="C21" s="4">
        <v>127131</v>
      </c>
      <c r="D21" s="4"/>
    </row>
    <row r="22" spans="1:4" x14ac:dyDescent="0.4">
      <c r="B22" t="s">
        <v>132</v>
      </c>
      <c r="C22" s="4">
        <v>502672</v>
      </c>
      <c r="D22" s="4"/>
    </row>
    <row r="23" spans="1:4" x14ac:dyDescent="0.4">
      <c r="A23" t="s">
        <v>166</v>
      </c>
      <c r="B23" t="s">
        <v>97</v>
      </c>
      <c r="C23" s="4">
        <v>485112</v>
      </c>
      <c r="D23" s="4"/>
    </row>
    <row r="24" spans="1:4" x14ac:dyDescent="0.4">
      <c r="B24" t="s">
        <v>102</v>
      </c>
      <c r="C24" s="4">
        <v>409002</v>
      </c>
      <c r="D24" s="4"/>
    </row>
    <row r="25" spans="1:4" x14ac:dyDescent="0.4">
      <c r="B25" t="s">
        <v>156</v>
      </c>
      <c r="C25" s="4">
        <v>77490</v>
      </c>
      <c r="D25" s="4"/>
    </row>
    <row r="26" spans="1:4" x14ac:dyDescent="0.4">
      <c r="B26" t="s">
        <v>106</v>
      </c>
      <c r="C26" s="4">
        <v>217360</v>
      </c>
      <c r="D26" s="4"/>
    </row>
    <row r="27" spans="1:4" x14ac:dyDescent="0.4">
      <c r="B27" t="s">
        <v>194</v>
      </c>
      <c r="C27" s="4">
        <v>2919604</v>
      </c>
      <c r="D27" s="4"/>
    </row>
    <row r="28" spans="1:4" x14ac:dyDescent="0.4">
      <c r="B28" t="s">
        <v>176</v>
      </c>
      <c r="C28" s="4">
        <v>1263550</v>
      </c>
      <c r="D28" s="4"/>
    </row>
    <row r="29" spans="1:4" x14ac:dyDescent="0.4">
      <c r="B29" t="s">
        <v>189</v>
      </c>
      <c r="C29" s="4">
        <v>1263550</v>
      </c>
      <c r="D29" s="4"/>
    </row>
    <row r="30" spans="1:4" x14ac:dyDescent="0.4">
      <c r="B30" t="s">
        <v>190</v>
      </c>
      <c r="C30" s="4">
        <v>1263550</v>
      </c>
      <c r="D30" s="4"/>
    </row>
    <row r="31" spans="1:4" x14ac:dyDescent="0.4">
      <c r="B31" t="s">
        <v>191</v>
      </c>
      <c r="C31" s="4">
        <v>1263550</v>
      </c>
      <c r="D31" s="4"/>
    </row>
    <row r="32" spans="1:4" x14ac:dyDescent="0.4">
      <c r="B32" t="s">
        <v>192</v>
      </c>
      <c r="C32" s="4">
        <v>1263550</v>
      </c>
      <c r="D32" s="4"/>
    </row>
    <row r="33" spans="1:4" x14ac:dyDescent="0.4">
      <c r="B33" t="s">
        <v>193</v>
      </c>
      <c r="C33" s="4">
        <v>1263550</v>
      </c>
      <c r="D33" s="4"/>
    </row>
    <row r="34" spans="1:4" x14ac:dyDescent="0.4">
      <c r="B34" t="s">
        <v>168</v>
      </c>
      <c r="C34" s="4">
        <v>333900</v>
      </c>
      <c r="D34" s="4"/>
    </row>
    <row r="35" spans="1:4" x14ac:dyDescent="0.4">
      <c r="B35" t="s">
        <v>171</v>
      </c>
      <c r="C35" s="4">
        <v>100033</v>
      </c>
      <c r="D35" s="4"/>
    </row>
    <row r="36" spans="1:4" x14ac:dyDescent="0.4">
      <c r="A36" t="s">
        <v>314</v>
      </c>
      <c r="B36" t="s">
        <v>411</v>
      </c>
      <c r="C36" s="4">
        <v>706746</v>
      </c>
      <c r="D36" s="4"/>
    </row>
    <row r="37" spans="1:4" x14ac:dyDescent="0.4">
      <c r="A37" t="s">
        <v>269</v>
      </c>
      <c r="B37" t="s">
        <v>407</v>
      </c>
      <c r="C37" s="4">
        <v>3279449</v>
      </c>
      <c r="D37" s="4"/>
    </row>
    <row r="38" spans="1:4" x14ac:dyDescent="0.4">
      <c r="B38" t="s">
        <v>403</v>
      </c>
      <c r="C38" s="4">
        <v>409914</v>
      </c>
      <c r="D38" s="4"/>
    </row>
    <row r="39" spans="1:4" x14ac:dyDescent="0.4">
      <c r="A39" t="s">
        <v>202</v>
      </c>
      <c r="B39" t="s">
        <v>194</v>
      </c>
      <c r="C39" s="4">
        <v>2065014</v>
      </c>
      <c r="D39" s="4"/>
    </row>
    <row r="40" spans="1:4" x14ac:dyDescent="0.4">
      <c r="A40" t="s">
        <v>231</v>
      </c>
      <c r="B40" t="s">
        <v>252</v>
      </c>
      <c r="C40" s="4">
        <v>208725</v>
      </c>
      <c r="D40" s="4"/>
    </row>
    <row r="41" spans="1:4" x14ac:dyDescent="0.4">
      <c r="B41" t="s">
        <v>264</v>
      </c>
      <c r="C41" s="4">
        <v>168594</v>
      </c>
      <c r="D41" s="4"/>
    </row>
    <row r="42" spans="1:4" x14ac:dyDescent="0.4">
      <c r="B42" t="s">
        <v>262</v>
      </c>
      <c r="C42" s="4">
        <v>1294098</v>
      </c>
      <c r="D42" s="4"/>
    </row>
    <row r="43" spans="1:4" x14ac:dyDescent="0.4">
      <c r="B43" t="s">
        <v>248</v>
      </c>
      <c r="C43" s="4">
        <v>633134</v>
      </c>
      <c r="D43" s="4"/>
    </row>
    <row r="44" spans="1:4" x14ac:dyDescent="0.4">
      <c r="B44" t="s">
        <v>385</v>
      </c>
      <c r="C44" s="4">
        <v>317901</v>
      </c>
      <c r="D44" s="4"/>
    </row>
    <row r="45" spans="1:4" x14ac:dyDescent="0.4">
      <c r="B45" t="s">
        <v>390</v>
      </c>
      <c r="C45" s="4">
        <v>919086</v>
      </c>
      <c r="D45" s="4"/>
    </row>
    <row r="46" spans="1:4" x14ac:dyDescent="0.4">
      <c r="B46" t="s">
        <v>396</v>
      </c>
      <c r="C46" s="4">
        <v>1906942</v>
      </c>
      <c r="D46" s="4"/>
    </row>
    <row r="47" spans="1:4" x14ac:dyDescent="0.4">
      <c r="A47" t="s">
        <v>413</v>
      </c>
      <c r="C47" s="4">
        <v>28000000</v>
      </c>
      <c r="D47" s="4"/>
    </row>
    <row r="52" spans="1:4" x14ac:dyDescent="0.4">
      <c r="A52" s="10" t="s">
        <v>0</v>
      </c>
      <c r="B52" t="s">
        <v>416</v>
      </c>
      <c r="C52" t="s">
        <v>417</v>
      </c>
      <c r="D52" t="s">
        <v>413</v>
      </c>
    </row>
    <row r="53" spans="1:4" x14ac:dyDescent="0.4">
      <c r="A53" t="s">
        <v>12</v>
      </c>
      <c r="B53" s="4">
        <v>3966596</v>
      </c>
      <c r="C53" s="4"/>
      <c r="D53" s="4">
        <v>3966596</v>
      </c>
    </row>
    <row r="54" spans="1:4" x14ac:dyDescent="0.4">
      <c r="A54" t="s">
        <v>166</v>
      </c>
      <c r="B54" s="4">
        <v>12123801</v>
      </c>
      <c r="C54" s="4"/>
      <c r="D54" s="4">
        <v>12123801</v>
      </c>
    </row>
    <row r="55" spans="1:4" x14ac:dyDescent="0.4">
      <c r="A55" t="s">
        <v>314</v>
      </c>
      <c r="B55" s="4">
        <v>706746</v>
      </c>
      <c r="C55" s="4"/>
      <c r="D55" s="4">
        <v>706746</v>
      </c>
    </row>
    <row r="56" spans="1:4" x14ac:dyDescent="0.4">
      <c r="A56" t="s">
        <v>269</v>
      </c>
      <c r="B56" s="4">
        <v>3689363</v>
      </c>
      <c r="C56" s="4"/>
      <c r="D56" s="4">
        <v>3689363</v>
      </c>
    </row>
    <row r="57" spans="1:4" x14ac:dyDescent="0.4">
      <c r="A57" t="s">
        <v>202</v>
      </c>
      <c r="B57" s="4">
        <v>2065014</v>
      </c>
      <c r="C57" s="4"/>
      <c r="D57" s="4">
        <v>2065014</v>
      </c>
    </row>
    <row r="58" spans="1:4" x14ac:dyDescent="0.4">
      <c r="A58" t="s">
        <v>231</v>
      </c>
      <c r="B58" s="4">
        <v>5448480</v>
      </c>
      <c r="C58" s="4"/>
      <c r="D58" s="4">
        <v>5448480</v>
      </c>
    </row>
    <row r="59" spans="1:4" x14ac:dyDescent="0.4">
      <c r="A59" t="s">
        <v>413</v>
      </c>
      <c r="B59" s="4">
        <v>28000000</v>
      </c>
      <c r="C59" s="4"/>
      <c r="D59" s="4">
        <v>28000000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989006-4763-411E-B7D1-3C21D3810DA7}">
  <dimension ref="B3:AX45"/>
  <sheetViews>
    <sheetView showGridLines="0" tabSelected="1" workbookViewId="0">
      <selection activeCell="E17" sqref="E17"/>
    </sheetView>
  </sheetViews>
  <sheetFormatPr defaultRowHeight="14.6" x14ac:dyDescent="0.4"/>
  <cols>
    <col min="2" max="2" width="15.61328125" customWidth="1"/>
    <col min="3" max="3" width="19.07421875" customWidth="1"/>
    <col min="4" max="4" width="15.15234375" customWidth="1"/>
    <col min="39" max="39" width="10.765625" customWidth="1"/>
    <col min="41" max="41" width="11.07421875" customWidth="1"/>
  </cols>
  <sheetData>
    <row r="3" spans="2:32" x14ac:dyDescent="0.4">
      <c r="G3" s="14"/>
      <c r="H3" s="15"/>
      <c r="I3" s="15"/>
      <c r="J3" s="15"/>
      <c r="K3" s="15"/>
      <c r="L3" s="15"/>
      <c r="M3" s="15"/>
      <c r="N3" s="16"/>
      <c r="P3" s="14"/>
      <c r="Q3" s="15"/>
      <c r="R3" s="15"/>
      <c r="S3" s="15"/>
      <c r="T3" s="15"/>
      <c r="U3" s="15"/>
      <c r="V3" s="15"/>
      <c r="W3" s="16"/>
      <c r="Y3" s="14"/>
      <c r="Z3" s="15"/>
      <c r="AA3" s="15"/>
      <c r="AB3" s="15"/>
      <c r="AC3" s="15"/>
      <c r="AD3" s="15"/>
      <c r="AE3" s="15"/>
      <c r="AF3" s="16"/>
    </row>
    <row r="4" spans="2:32" x14ac:dyDescent="0.4">
      <c r="B4" t="s">
        <v>418</v>
      </c>
      <c r="C4" t="s">
        <v>419</v>
      </c>
      <c r="D4" t="s">
        <v>420</v>
      </c>
      <c r="G4" s="20"/>
      <c r="H4" s="21" t="s">
        <v>424</v>
      </c>
      <c r="I4" s="21"/>
      <c r="J4" s="21"/>
      <c r="K4" s="21"/>
      <c r="L4" s="21"/>
      <c r="M4" s="21"/>
      <c r="N4" s="22"/>
      <c r="P4" s="20"/>
      <c r="Q4" s="21" t="s">
        <v>433</v>
      </c>
      <c r="R4" s="21"/>
      <c r="S4" s="21"/>
      <c r="T4" s="21"/>
      <c r="U4" s="21"/>
      <c r="V4" s="21"/>
      <c r="W4" s="22"/>
      <c r="Y4" s="20"/>
      <c r="Z4" s="21" t="s">
        <v>438</v>
      </c>
      <c r="AA4" s="21"/>
      <c r="AB4" s="21"/>
      <c r="AC4" s="21"/>
      <c r="AD4" s="21"/>
      <c r="AE4" s="21"/>
      <c r="AF4" s="22"/>
    </row>
    <row r="5" spans="2:32" x14ac:dyDescent="0.4">
      <c r="G5" s="20"/>
      <c r="H5" s="21"/>
      <c r="I5" s="21"/>
      <c r="J5" s="21"/>
      <c r="K5" s="21"/>
      <c r="L5" s="21"/>
      <c r="M5" s="21"/>
      <c r="N5" s="22"/>
      <c r="P5" s="20"/>
      <c r="Q5" s="21"/>
      <c r="R5" s="21"/>
      <c r="S5" s="21"/>
      <c r="T5" s="21"/>
      <c r="U5" s="21"/>
      <c r="V5" s="21"/>
      <c r="W5" s="22"/>
      <c r="Y5" s="20"/>
      <c r="Z5" s="21"/>
      <c r="AA5" s="21"/>
      <c r="AB5" s="21"/>
      <c r="AC5" s="21"/>
      <c r="AD5" s="21"/>
      <c r="AE5" s="21"/>
      <c r="AF5" s="22"/>
    </row>
    <row r="6" spans="2:32" x14ac:dyDescent="0.4">
      <c r="B6" t="s">
        <v>421</v>
      </c>
      <c r="C6" t="s">
        <v>422</v>
      </c>
      <c r="D6" t="s">
        <v>423</v>
      </c>
      <c r="G6" s="20"/>
      <c r="H6" s="21"/>
      <c r="I6" s="21"/>
      <c r="J6" s="21"/>
      <c r="K6" s="21"/>
      <c r="L6" s="21"/>
      <c r="M6" s="21"/>
      <c r="N6" s="22"/>
      <c r="P6" s="20"/>
      <c r="Q6" s="21"/>
      <c r="R6" s="21"/>
      <c r="S6" s="21"/>
      <c r="T6" s="21"/>
      <c r="U6" s="21"/>
      <c r="V6" s="21"/>
      <c r="W6" s="22"/>
      <c r="Y6" s="20"/>
      <c r="Z6" s="21"/>
      <c r="AA6" s="21"/>
      <c r="AB6" s="21"/>
      <c r="AC6" s="21"/>
      <c r="AD6" s="21"/>
      <c r="AE6" s="21"/>
      <c r="AF6" s="22"/>
    </row>
    <row r="7" spans="2:32" x14ac:dyDescent="0.4">
      <c r="G7" s="20"/>
      <c r="H7" s="21" t="s">
        <v>425</v>
      </c>
      <c r="I7" s="21"/>
      <c r="J7" s="23"/>
      <c r="K7" s="23"/>
      <c r="L7" s="23"/>
      <c r="M7" s="23"/>
      <c r="N7" s="22"/>
      <c r="P7" s="20"/>
      <c r="Q7" s="21" t="s">
        <v>425</v>
      </c>
      <c r="R7" s="21"/>
      <c r="S7" s="23"/>
      <c r="T7" s="23"/>
      <c r="U7" s="23"/>
      <c r="V7" s="23"/>
      <c r="W7" s="22"/>
      <c r="Y7" s="20"/>
      <c r="Z7" s="21" t="s">
        <v>425</v>
      </c>
      <c r="AA7" s="21"/>
      <c r="AB7" s="23"/>
      <c r="AC7" s="23"/>
      <c r="AD7" s="23"/>
      <c r="AE7" s="23"/>
      <c r="AF7" s="22"/>
    </row>
    <row r="8" spans="2:32" x14ac:dyDescent="0.4">
      <c r="G8" s="20"/>
      <c r="H8" s="21"/>
      <c r="I8" s="21"/>
      <c r="J8" s="21"/>
      <c r="K8" s="21"/>
      <c r="L8" s="21"/>
      <c r="M8" s="21" t="s">
        <v>428</v>
      </c>
      <c r="N8" s="22"/>
      <c r="P8" s="20"/>
      <c r="Q8" s="21"/>
      <c r="R8" s="21"/>
      <c r="S8" s="21"/>
      <c r="T8" s="21"/>
      <c r="U8" s="21"/>
      <c r="V8" s="21" t="s">
        <v>428</v>
      </c>
      <c r="W8" s="22"/>
      <c r="Y8" s="20"/>
      <c r="Z8" s="21"/>
      <c r="AA8" s="21"/>
      <c r="AB8" s="21"/>
      <c r="AC8" s="21"/>
      <c r="AD8" s="21"/>
      <c r="AE8" s="21" t="s">
        <v>428</v>
      </c>
      <c r="AF8" s="22"/>
    </row>
    <row r="9" spans="2:32" x14ac:dyDescent="0.4">
      <c r="G9" s="20"/>
      <c r="H9" s="21" t="s">
        <v>426</v>
      </c>
      <c r="I9" s="21"/>
      <c r="J9" s="23"/>
      <c r="K9" s="23"/>
      <c r="L9" s="23"/>
      <c r="M9" s="23"/>
      <c r="N9" s="22"/>
      <c r="P9" s="20"/>
      <c r="Q9" s="21" t="s">
        <v>426</v>
      </c>
      <c r="R9" s="21"/>
      <c r="S9" s="23"/>
      <c r="T9" s="23"/>
      <c r="U9" s="23"/>
      <c r="V9" s="23"/>
      <c r="W9" s="22"/>
      <c r="Y9" s="20"/>
      <c r="Z9" s="21" t="s">
        <v>426</v>
      </c>
      <c r="AA9" s="21"/>
      <c r="AB9" s="23"/>
      <c r="AC9" s="23"/>
      <c r="AD9" s="23"/>
      <c r="AE9" s="23"/>
      <c r="AF9" s="22"/>
    </row>
    <row r="10" spans="2:32" x14ac:dyDescent="0.4">
      <c r="G10" s="20"/>
      <c r="H10" s="21"/>
      <c r="I10" s="21"/>
      <c r="J10" s="21"/>
      <c r="K10" s="21"/>
      <c r="L10" s="21"/>
      <c r="M10" s="21" t="s">
        <v>428</v>
      </c>
      <c r="N10" s="22"/>
      <c r="P10" s="20"/>
      <c r="Q10" s="21"/>
      <c r="R10" s="21"/>
      <c r="S10" s="21"/>
      <c r="T10" s="21"/>
      <c r="U10" s="21"/>
      <c r="V10" s="21" t="s">
        <v>428</v>
      </c>
      <c r="W10" s="22"/>
      <c r="Y10" s="20"/>
      <c r="Z10" s="21"/>
      <c r="AA10" s="21"/>
      <c r="AB10" s="21"/>
      <c r="AC10" s="21"/>
      <c r="AD10" s="21"/>
      <c r="AE10" s="21" t="s">
        <v>428</v>
      </c>
      <c r="AF10" s="22"/>
    </row>
    <row r="11" spans="2:32" x14ac:dyDescent="0.4">
      <c r="G11" s="20"/>
      <c r="H11" s="21" t="s">
        <v>427</v>
      </c>
      <c r="I11" s="21"/>
      <c r="J11" s="11"/>
      <c r="K11" s="12"/>
      <c r="L11" s="12"/>
      <c r="M11" s="13"/>
      <c r="N11" s="22"/>
      <c r="P11" s="20"/>
      <c r="Q11" s="21" t="s">
        <v>434</v>
      </c>
      <c r="R11" s="21"/>
      <c r="S11" s="11"/>
      <c r="T11" s="12"/>
      <c r="U11" s="12"/>
      <c r="V11" s="13"/>
      <c r="W11" s="22"/>
      <c r="Y11" s="20"/>
      <c r="Z11" s="21" t="s">
        <v>439</v>
      </c>
      <c r="AA11" s="21"/>
      <c r="AB11" s="11"/>
      <c r="AC11" s="12"/>
      <c r="AD11" s="12"/>
      <c r="AE11" s="13"/>
      <c r="AF11" s="22"/>
    </row>
    <row r="12" spans="2:32" x14ac:dyDescent="0.4">
      <c r="G12" s="20"/>
      <c r="H12" s="21"/>
      <c r="I12" s="21"/>
      <c r="J12" s="21"/>
      <c r="K12" s="21"/>
      <c r="L12" s="21"/>
      <c r="M12" s="21" t="s">
        <v>429</v>
      </c>
      <c r="N12" s="22"/>
      <c r="P12" s="20"/>
      <c r="Q12" s="21"/>
      <c r="R12" s="21"/>
      <c r="S12" s="21"/>
      <c r="T12" s="21"/>
      <c r="U12" s="21"/>
      <c r="V12" s="21" t="s">
        <v>428</v>
      </c>
      <c r="W12" s="22"/>
      <c r="Y12" s="20"/>
      <c r="Z12" s="21" t="s">
        <v>440</v>
      </c>
      <c r="AA12" s="21"/>
      <c r="AB12" s="21"/>
      <c r="AC12" s="21"/>
      <c r="AD12" s="21"/>
      <c r="AE12" s="21" t="s">
        <v>428</v>
      </c>
      <c r="AF12" s="22"/>
    </row>
    <row r="13" spans="2:32" x14ac:dyDescent="0.4">
      <c r="G13" s="20"/>
      <c r="H13" s="21" t="s">
        <v>430</v>
      </c>
      <c r="I13" s="21"/>
      <c r="J13" s="11"/>
      <c r="K13" s="12"/>
      <c r="L13" s="12"/>
      <c r="M13" s="13"/>
      <c r="N13" s="22"/>
      <c r="P13" s="20"/>
      <c r="Q13" s="21" t="s">
        <v>430</v>
      </c>
      <c r="R13" s="21"/>
      <c r="S13" s="11"/>
      <c r="T13" s="12"/>
      <c r="U13" s="12"/>
      <c r="V13" s="13"/>
      <c r="W13" s="22"/>
      <c r="Y13" s="20"/>
      <c r="Z13" s="21"/>
      <c r="AA13" s="21"/>
      <c r="AB13" s="21"/>
      <c r="AC13" s="21"/>
      <c r="AD13" s="21"/>
      <c r="AE13" s="21"/>
      <c r="AF13" s="22"/>
    </row>
    <row r="14" spans="2:32" x14ac:dyDescent="0.4">
      <c r="G14" s="20"/>
      <c r="H14" s="21"/>
      <c r="I14" s="21"/>
      <c r="J14" s="21"/>
      <c r="K14" s="21"/>
      <c r="L14" s="21"/>
      <c r="M14" s="21" t="s">
        <v>429</v>
      </c>
      <c r="N14" s="22"/>
      <c r="P14" s="20"/>
      <c r="Q14" s="21"/>
      <c r="R14" s="21"/>
      <c r="S14" s="21"/>
      <c r="T14" s="21"/>
      <c r="U14" s="21"/>
      <c r="V14" s="21" t="s">
        <v>435</v>
      </c>
      <c r="W14" s="22"/>
      <c r="Y14" s="20"/>
      <c r="Z14" s="21"/>
      <c r="AA14" s="21"/>
      <c r="AB14" s="21"/>
      <c r="AC14" s="21"/>
      <c r="AD14" s="21"/>
      <c r="AE14" s="21"/>
      <c r="AF14" s="22"/>
    </row>
    <row r="15" spans="2:32" x14ac:dyDescent="0.4">
      <c r="G15" s="20"/>
      <c r="H15" s="21" t="s">
        <v>431</v>
      </c>
      <c r="I15" s="21"/>
      <c r="J15" s="11"/>
      <c r="K15" s="12"/>
      <c r="L15" s="13"/>
      <c r="M15" s="21" t="s">
        <v>429</v>
      </c>
      <c r="N15" s="22"/>
      <c r="P15" s="20"/>
      <c r="Q15" s="21" t="s">
        <v>431</v>
      </c>
      <c r="R15" s="21"/>
      <c r="S15" s="11"/>
      <c r="T15" s="12"/>
      <c r="U15" s="13"/>
      <c r="V15" s="21" t="s">
        <v>435</v>
      </c>
      <c r="W15" s="22"/>
      <c r="Y15" s="20"/>
      <c r="Z15" s="21"/>
      <c r="AA15" s="21"/>
      <c r="AB15" s="21"/>
      <c r="AC15" s="21"/>
      <c r="AD15" s="21"/>
      <c r="AE15" s="21"/>
      <c r="AF15" s="22"/>
    </row>
    <row r="16" spans="2:32" x14ac:dyDescent="0.4">
      <c r="G16" s="20"/>
      <c r="H16" s="21" t="s">
        <v>432</v>
      </c>
      <c r="I16" s="21"/>
      <c r="J16" s="17"/>
      <c r="K16" s="18"/>
      <c r="L16" s="19"/>
      <c r="M16" s="21" t="s">
        <v>429</v>
      </c>
      <c r="N16" s="22"/>
      <c r="P16" s="20"/>
      <c r="Q16" s="21" t="s">
        <v>432</v>
      </c>
      <c r="R16" s="21"/>
      <c r="S16" s="17"/>
      <c r="T16" s="18"/>
      <c r="U16" s="19"/>
      <c r="V16" s="21" t="s">
        <v>435</v>
      </c>
      <c r="W16" s="22"/>
      <c r="Y16" s="17"/>
      <c r="Z16" s="18"/>
      <c r="AA16" s="18"/>
      <c r="AB16" s="18"/>
      <c r="AC16" s="18"/>
      <c r="AD16" s="18"/>
      <c r="AE16" s="18"/>
      <c r="AF16" s="19"/>
    </row>
    <row r="17" spans="7:50" x14ac:dyDescent="0.4">
      <c r="G17" s="20"/>
      <c r="H17" s="21"/>
      <c r="I17" s="21"/>
      <c r="J17" s="21"/>
      <c r="K17" s="21"/>
      <c r="L17" s="21"/>
      <c r="M17" s="21"/>
      <c r="N17" s="22"/>
      <c r="P17" s="20"/>
      <c r="Q17" s="21"/>
      <c r="R17" s="21"/>
      <c r="S17" s="21"/>
      <c r="T17" s="21"/>
      <c r="U17" s="21"/>
      <c r="V17" s="22"/>
      <c r="W17" s="22"/>
      <c r="Y17" s="20"/>
      <c r="Z17" s="21"/>
      <c r="AA17" s="21"/>
      <c r="AB17" s="21"/>
      <c r="AC17" s="21"/>
      <c r="AD17" s="21"/>
      <c r="AE17" s="21"/>
      <c r="AF17" s="22"/>
    </row>
    <row r="18" spans="7:50" x14ac:dyDescent="0.4">
      <c r="G18" s="20"/>
      <c r="H18" s="21"/>
      <c r="I18" s="21"/>
      <c r="J18" s="21"/>
      <c r="K18" s="21"/>
      <c r="L18" s="21"/>
      <c r="M18" s="21"/>
      <c r="N18" s="22"/>
      <c r="P18" s="20"/>
      <c r="Q18" s="24" t="s">
        <v>436</v>
      </c>
      <c r="R18" s="21"/>
      <c r="S18" s="25"/>
      <c r="T18" s="26"/>
      <c r="U18" s="26"/>
      <c r="V18" s="27"/>
      <c r="W18" s="22"/>
      <c r="Y18" s="20"/>
      <c r="Z18" s="21" t="s">
        <v>441</v>
      </c>
      <c r="AA18" s="21"/>
      <c r="AB18" s="21"/>
      <c r="AC18" s="21"/>
      <c r="AD18" s="21"/>
      <c r="AE18" s="21"/>
      <c r="AF18" s="22"/>
    </row>
    <row r="19" spans="7:50" x14ac:dyDescent="0.4">
      <c r="G19" s="20"/>
      <c r="H19" s="21"/>
      <c r="I19" s="21"/>
      <c r="J19" s="21"/>
      <c r="K19" s="21"/>
      <c r="L19" s="21"/>
      <c r="M19" s="21"/>
      <c r="N19" s="22"/>
      <c r="P19" s="20"/>
      <c r="Q19" s="21"/>
      <c r="R19" s="21"/>
      <c r="S19" s="21" t="s">
        <v>437</v>
      </c>
      <c r="T19" s="21"/>
      <c r="U19" s="21"/>
      <c r="V19" s="22"/>
      <c r="W19" s="22"/>
      <c r="Y19" s="20"/>
      <c r="Z19" s="21"/>
      <c r="AA19" s="21"/>
      <c r="AB19" s="21"/>
      <c r="AC19" s="21"/>
      <c r="AD19" s="21"/>
      <c r="AE19" s="21"/>
      <c r="AF19" s="22"/>
    </row>
    <row r="20" spans="7:50" x14ac:dyDescent="0.4">
      <c r="G20" s="20"/>
      <c r="H20" s="21"/>
      <c r="I20" s="21"/>
      <c r="J20" s="21"/>
      <c r="K20" s="21"/>
      <c r="L20" s="21"/>
      <c r="M20" s="21"/>
      <c r="N20" s="22"/>
      <c r="P20" s="20"/>
      <c r="Q20" s="21"/>
      <c r="R20" s="21"/>
      <c r="S20" s="21"/>
      <c r="T20" s="21"/>
      <c r="U20" s="21"/>
      <c r="V20" s="22"/>
      <c r="W20" s="22"/>
      <c r="Y20" s="20"/>
      <c r="Z20" s="21" t="s">
        <v>442</v>
      </c>
      <c r="AA20" s="21"/>
      <c r="AB20" s="21"/>
      <c r="AC20" s="21"/>
      <c r="AD20" s="21"/>
      <c r="AE20" s="21"/>
      <c r="AF20" s="22"/>
    </row>
    <row r="21" spans="7:50" x14ac:dyDescent="0.4">
      <c r="G21" s="20"/>
      <c r="H21" s="21"/>
      <c r="I21" s="21"/>
      <c r="J21" s="21"/>
      <c r="K21" s="21"/>
      <c r="L21" s="21"/>
      <c r="M21" s="21"/>
      <c r="N21" s="22"/>
      <c r="P21" s="20"/>
      <c r="Q21" s="21"/>
      <c r="R21" s="21"/>
      <c r="S21" s="21"/>
      <c r="T21" s="21"/>
      <c r="U21" s="21"/>
      <c r="V21" s="22"/>
      <c r="W21" s="22"/>
      <c r="Y21" s="20"/>
      <c r="Z21" s="21" t="s">
        <v>443</v>
      </c>
      <c r="AA21" s="21"/>
      <c r="AB21" s="21"/>
      <c r="AC21" s="21"/>
      <c r="AD21" s="21"/>
      <c r="AE21" s="21"/>
      <c r="AF21" s="22"/>
    </row>
    <row r="22" spans="7:50" x14ac:dyDescent="0.4">
      <c r="G22" s="20"/>
      <c r="H22" s="21"/>
      <c r="I22" s="21"/>
      <c r="J22" s="21"/>
      <c r="K22" s="21"/>
      <c r="L22" s="21"/>
      <c r="M22" s="21"/>
      <c r="N22" s="22"/>
      <c r="P22" s="20"/>
      <c r="Q22" s="21"/>
      <c r="R22" s="21"/>
      <c r="S22" s="21"/>
      <c r="T22" s="21"/>
      <c r="U22" s="21"/>
      <c r="V22" s="22"/>
      <c r="W22" s="22"/>
      <c r="Y22" s="20"/>
      <c r="Z22" s="24" t="s">
        <v>444</v>
      </c>
      <c r="AA22" s="21"/>
      <c r="AB22" s="21"/>
      <c r="AC22" s="21"/>
      <c r="AD22" s="21"/>
      <c r="AE22" s="21"/>
      <c r="AF22" s="22"/>
    </row>
    <row r="23" spans="7:50" x14ac:dyDescent="0.4">
      <c r="G23" s="20"/>
      <c r="H23" s="21"/>
      <c r="I23" s="21"/>
      <c r="J23" s="21"/>
      <c r="K23" s="21"/>
      <c r="L23" s="21"/>
      <c r="M23" s="21"/>
      <c r="N23" s="22"/>
      <c r="P23" s="20"/>
      <c r="Q23" s="21"/>
      <c r="R23" s="21"/>
      <c r="S23" s="21"/>
      <c r="T23" s="21"/>
      <c r="U23" s="21"/>
      <c r="V23" s="22"/>
      <c r="W23" s="22"/>
      <c r="Y23" s="20"/>
      <c r="Z23" s="24" t="s">
        <v>445</v>
      </c>
      <c r="AA23" s="21"/>
      <c r="AB23" s="21"/>
      <c r="AC23" s="21"/>
      <c r="AD23" s="21"/>
      <c r="AE23" s="21"/>
      <c r="AF23" s="22"/>
    </row>
    <row r="24" spans="7:50" x14ac:dyDescent="0.4">
      <c r="G24" s="20"/>
      <c r="H24" s="21"/>
      <c r="I24" s="21"/>
      <c r="J24" s="21"/>
      <c r="K24" s="21"/>
      <c r="L24" s="21"/>
      <c r="M24" s="21"/>
      <c r="N24" s="22"/>
      <c r="P24" s="20"/>
      <c r="Q24" s="21"/>
      <c r="R24" s="21"/>
      <c r="S24" s="21"/>
      <c r="T24" s="21"/>
      <c r="U24" s="21"/>
      <c r="V24" s="22"/>
      <c r="W24" s="22"/>
      <c r="Y24" s="20"/>
      <c r="Z24" s="24" t="s">
        <v>446</v>
      </c>
      <c r="AA24" s="21"/>
      <c r="AB24" s="21"/>
      <c r="AC24" s="21"/>
      <c r="AD24" s="21"/>
      <c r="AE24" s="21"/>
      <c r="AF24" s="22"/>
    </row>
    <row r="25" spans="7:50" x14ac:dyDescent="0.4">
      <c r="G25" s="20"/>
      <c r="H25" s="21"/>
      <c r="I25" s="21"/>
      <c r="J25" s="21"/>
      <c r="K25" s="21"/>
      <c r="L25" s="21"/>
      <c r="M25" s="21"/>
      <c r="N25" s="22"/>
      <c r="P25" s="20"/>
      <c r="Q25" s="21"/>
      <c r="R25" s="21"/>
      <c r="S25" s="21"/>
      <c r="T25" s="21"/>
      <c r="U25" s="21"/>
      <c r="V25" s="22"/>
      <c r="W25" s="22"/>
      <c r="Y25" s="20"/>
      <c r="Z25" s="21"/>
      <c r="AA25" s="21"/>
      <c r="AB25" s="21"/>
      <c r="AC25" s="21"/>
      <c r="AD25" s="21"/>
      <c r="AE25" s="21"/>
      <c r="AF25" s="22"/>
    </row>
    <row r="26" spans="7:50" x14ac:dyDescent="0.4">
      <c r="G26" s="20"/>
      <c r="H26" s="21"/>
      <c r="I26" s="21"/>
      <c r="J26" s="21"/>
      <c r="K26" s="21"/>
      <c r="L26" s="21"/>
      <c r="M26" s="21"/>
      <c r="N26" s="22"/>
      <c r="P26" s="20"/>
      <c r="Q26" s="21"/>
      <c r="R26" s="21"/>
      <c r="S26" s="21"/>
      <c r="T26" s="21"/>
      <c r="U26" s="21"/>
      <c r="V26" s="22"/>
      <c r="W26" s="22"/>
      <c r="Y26" s="20"/>
      <c r="Z26" s="28" t="s">
        <v>447</v>
      </c>
      <c r="AA26" s="21"/>
      <c r="AB26" s="21"/>
      <c r="AC26" s="21"/>
      <c r="AD26" s="21"/>
      <c r="AE26" s="21"/>
      <c r="AF26" s="22"/>
    </row>
    <row r="27" spans="7:50" x14ac:dyDescent="0.4">
      <c r="G27" s="17"/>
      <c r="H27" s="18"/>
      <c r="I27" s="18"/>
      <c r="J27" s="18"/>
      <c r="K27" s="18"/>
      <c r="L27" s="18"/>
      <c r="M27" s="18"/>
      <c r="N27" s="19"/>
      <c r="P27" s="17"/>
      <c r="Q27" s="18"/>
      <c r="R27" s="18"/>
      <c r="S27" s="18"/>
      <c r="T27" s="18"/>
      <c r="U27" s="18"/>
      <c r="V27" s="19"/>
      <c r="W27" s="19"/>
      <c r="Y27" s="17"/>
      <c r="Z27" s="18"/>
      <c r="AA27" s="18"/>
      <c r="AB27" s="18"/>
      <c r="AC27" s="18"/>
      <c r="AD27" s="18"/>
      <c r="AE27" s="18"/>
      <c r="AF27" s="19"/>
    </row>
    <row r="29" spans="7:50" x14ac:dyDescent="0.4">
      <c r="Y29" s="29" t="s">
        <v>448</v>
      </c>
    </row>
    <row r="30" spans="7:50" x14ac:dyDescent="0.4">
      <c r="Y30" t="s">
        <v>450</v>
      </c>
      <c r="Z30" t="s">
        <v>450</v>
      </c>
      <c r="AA30" t="s">
        <v>450</v>
      </c>
      <c r="AB30" t="s">
        <v>450</v>
      </c>
      <c r="AC30" t="s">
        <v>450</v>
      </c>
      <c r="AD30" t="s">
        <v>450</v>
      </c>
      <c r="AE30" t="s">
        <v>450</v>
      </c>
      <c r="AF30" t="s">
        <v>450</v>
      </c>
      <c r="AG30" t="s">
        <v>450</v>
      </c>
      <c r="AH30" t="s">
        <v>450</v>
      </c>
      <c r="AI30" t="s">
        <v>450</v>
      </c>
      <c r="AJ30" t="s">
        <v>450</v>
      </c>
      <c r="AK30" t="s">
        <v>450</v>
      </c>
      <c r="AL30" t="s">
        <v>450</v>
      </c>
      <c r="AM30" t="s">
        <v>467</v>
      </c>
      <c r="AN30" t="s">
        <v>467</v>
      </c>
      <c r="AO30" t="s">
        <v>467</v>
      </c>
      <c r="AP30" t="s">
        <v>467</v>
      </c>
      <c r="AQ30" t="s">
        <v>467</v>
      </c>
      <c r="AR30" t="s">
        <v>467</v>
      </c>
      <c r="AS30" t="s">
        <v>468</v>
      </c>
      <c r="AT30" t="s">
        <v>468</v>
      </c>
      <c r="AU30" t="s">
        <v>468</v>
      </c>
      <c r="AV30" t="s">
        <v>468</v>
      </c>
      <c r="AW30" t="s">
        <v>468</v>
      </c>
      <c r="AX30" t="s">
        <v>468</v>
      </c>
    </row>
    <row r="31" spans="7:50" ht="29.15" x14ac:dyDescent="0.4">
      <c r="Y31" t="s">
        <v>449</v>
      </c>
      <c r="Z31" t="s">
        <v>0</v>
      </c>
      <c r="AA31" t="s">
        <v>451</v>
      </c>
      <c r="AB31" t="s">
        <v>325</v>
      </c>
      <c r="AC31" t="s">
        <v>452</v>
      </c>
      <c r="AD31" t="s">
        <v>327</v>
      </c>
      <c r="AE31" s="3" t="s">
        <v>454</v>
      </c>
      <c r="AF31" s="3" t="s">
        <v>455</v>
      </c>
      <c r="AG31" s="3" t="s">
        <v>456</v>
      </c>
      <c r="AH31" s="3" t="s">
        <v>457</v>
      </c>
      <c r="AI31" s="3" t="s">
        <v>458</v>
      </c>
      <c r="AJ31" s="3" t="s">
        <v>459</v>
      </c>
      <c r="AK31" s="3" t="s">
        <v>460</v>
      </c>
      <c r="AL31" s="3" t="s">
        <v>461</v>
      </c>
      <c r="AM31" s="3" t="s">
        <v>455</v>
      </c>
      <c r="AN31" s="3" t="s">
        <v>456</v>
      </c>
      <c r="AO31" s="3" t="s">
        <v>457</v>
      </c>
      <c r="AP31" s="3" t="s">
        <v>459</v>
      </c>
      <c r="AQ31" s="3" t="s">
        <v>460</v>
      </c>
      <c r="AR31" s="3" t="s">
        <v>461</v>
      </c>
      <c r="AS31" s="3" t="s">
        <v>455</v>
      </c>
      <c r="AT31" s="3" t="s">
        <v>456</v>
      </c>
      <c r="AU31" s="3" t="s">
        <v>457</v>
      </c>
      <c r="AV31" s="3" t="s">
        <v>459</v>
      </c>
      <c r="AW31" s="3" t="s">
        <v>460</v>
      </c>
      <c r="AX31" s="3" t="s">
        <v>461</v>
      </c>
    </row>
    <row r="33" spans="25:50" x14ac:dyDescent="0.4">
      <c r="Y33">
        <v>1</v>
      </c>
      <c r="Z33" t="s">
        <v>462</v>
      </c>
      <c r="AA33" t="s">
        <v>463</v>
      </c>
      <c r="AB33" t="s">
        <v>464</v>
      </c>
      <c r="AC33" t="s">
        <v>465</v>
      </c>
      <c r="AD33" t="s">
        <v>466</v>
      </c>
      <c r="AE33" t="s">
        <v>204</v>
      </c>
      <c r="AF33">
        <v>10</v>
      </c>
      <c r="AG33">
        <v>40000</v>
      </c>
      <c r="AH33" s="30">
        <v>0.18</v>
      </c>
      <c r="AI33" t="s">
        <v>204</v>
      </c>
      <c r="AJ33">
        <v>10</v>
      </c>
      <c r="AK33">
        <v>3000</v>
      </c>
      <c r="AL33" s="30">
        <v>0.18</v>
      </c>
      <c r="AM33">
        <v>12</v>
      </c>
      <c r="AP33">
        <v>12</v>
      </c>
      <c r="AS33">
        <f>IF(AM33&lt;&gt;"",AM33,AF33)</f>
        <v>12</v>
      </c>
      <c r="AT33">
        <f t="shared" ref="AT33:AU33" si="0">IF(AN33&lt;&gt;"",AN33,AG33)</f>
        <v>40000</v>
      </c>
      <c r="AU33">
        <f t="shared" si="0"/>
        <v>0.18</v>
      </c>
      <c r="AV33">
        <f>IF(AP33&lt;&gt;"",AP33,AJ33)</f>
        <v>12</v>
      </c>
      <c r="AW33">
        <f t="shared" ref="AW33:AX33" si="1">IF(AQ33&lt;&gt;"",AQ33,AK33)</f>
        <v>3000</v>
      </c>
      <c r="AX33">
        <f t="shared" si="1"/>
        <v>0.18</v>
      </c>
    </row>
    <row r="34" spans="25:50" x14ac:dyDescent="0.4">
      <c r="Y34">
        <v>7</v>
      </c>
      <c r="Z34" t="s">
        <v>469</v>
      </c>
      <c r="AA34" t="s">
        <v>470</v>
      </c>
      <c r="AB34" t="s">
        <v>471</v>
      </c>
      <c r="AC34" t="s">
        <v>472</v>
      </c>
      <c r="AD34" t="s">
        <v>473</v>
      </c>
      <c r="AE34" t="s">
        <v>474</v>
      </c>
      <c r="AF34">
        <v>30</v>
      </c>
      <c r="AG34">
        <v>12000</v>
      </c>
      <c r="AH34" s="30">
        <v>0.18</v>
      </c>
      <c r="AN34">
        <v>14000</v>
      </c>
      <c r="AP34">
        <v>30</v>
      </c>
      <c r="AQ34">
        <v>500</v>
      </c>
      <c r="AR34">
        <v>18</v>
      </c>
      <c r="AS34">
        <f>IF(AM34&lt;&gt;"",AM34,AF34)</f>
        <v>30</v>
      </c>
      <c r="AT34">
        <f t="shared" ref="AT34" si="2">IF(AN34&lt;&gt;"",AN34,AG34)</f>
        <v>14000</v>
      </c>
      <c r="AU34">
        <f t="shared" ref="AU34" si="3">IF(AO34&lt;&gt;"",AO34,AH34)</f>
        <v>0.18</v>
      </c>
      <c r="AV34">
        <f>IF(AP34&lt;&gt;"",AP34,AJ34)</f>
        <v>30</v>
      </c>
      <c r="AW34">
        <f t="shared" ref="AW34" si="4">IF(AQ34&lt;&gt;"",AQ34,AK34)</f>
        <v>500</v>
      </c>
      <c r="AX34">
        <f t="shared" ref="AX34" si="5">IF(AR34&lt;&gt;"",AR34,AL34)</f>
        <v>18</v>
      </c>
    </row>
    <row r="36" spans="25:50" x14ac:dyDescent="0.4">
      <c r="AA36" t="s">
        <v>486</v>
      </c>
      <c r="AI36" t="s">
        <v>487</v>
      </c>
    </row>
    <row r="38" spans="25:50" x14ac:dyDescent="0.4">
      <c r="AA38" t="s">
        <v>475</v>
      </c>
      <c r="AB38" t="s">
        <v>0</v>
      </c>
      <c r="AC38" t="s">
        <v>476</v>
      </c>
      <c r="AD38" t="s">
        <v>477</v>
      </c>
      <c r="AE38" t="s">
        <v>478</v>
      </c>
      <c r="AI38" s="14" t="str">
        <f>CONCATENATE(AC33," UNDER",AB33," Under ",Z33)</f>
        <v>2 ton Split Ac  UNDERSlipt AC Under HVAC</v>
      </c>
      <c r="AJ38" s="15"/>
      <c r="AK38" s="15"/>
      <c r="AL38" s="15"/>
      <c r="AM38" s="15"/>
      <c r="AN38" s="38" t="s">
        <v>489</v>
      </c>
      <c r="AO38" s="39"/>
    </row>
    <row r="39" spans="25:50" x14ac:dyDescent="0.4">
      <c r="AA39" t="s">
        <v>450</v>
      </c>
      <c r="AB39" t="s">
        <v>462</v>
      </c>
      <c r="AC39">
        <f>AF33*AG33*(1+AH33)</f>
        <v>472000</v>
      </c>
      <c r="AD39">
        <f>AJ33*AK33*(1+AL33)</f>
        <v>35400</v>
      </c>
      <c r="AE39">
        <f>AC39+AD39</f>
        <v>507400</v>
      </c>
      <c r="AI39" s="20"/>
      <c r="AJ39" s="21" t="s">
        <v>476</v>
      </c>
      <c r="AK39" s="21" t="s">
        <v>476</v>
      </c>
      <c r="AL39" s="21" t="s">
        <v>476</v>
      </c>
      <c r="AM39" s="24" t="s">
        <v>477</v>
      </c>
      <c r="AN39" s="24" t="s">
        <v>477</v>
      </c>
      <c r="AO39" s="24" t="s">
        <v>477</v>
      </c>
    </row>
    <row r="40" spans="25:50" x14ac:dyDescent="0.4">
      <c r="AA40" t="s">
        <v>479</v>
      </c>
      <c r="AB40" t="s">
        <v>462</v>
      </c>
      <c r="AC40">
        <f>AS33*AT33*(1+AU33)</f>
        <v>566400</v>
      </c>
      <c r="AD40">
        <f>AV33*AW33*(1+AX33)</f>
        <v>42480</v>
      </c>
      <c r="AE40">
        <f>AC40+AD40</f>
        <v>608880</v>
      </c>
      <c r="AJ40" s="21" t="s">
        <v>2</v>
      </c>
      <c r="AK40" s="21" t="s">
        <v>453</v>
      </c>
      <c r="AL40" s="24" t="s">
        <v>481</v>
      </c>
      <c r="AM40" s="24" t="s">
        <v>482</v>
      </c>
      <c r="AN40" s="24" t="s">
        <v>453</v>
      </c>
      <c r="AO40" s="22" t="s">
        <v>483</v>
      </c>
    </row>
    <row r="41" spans="25:50" x14ac:dyDescent="0.4">
      <c r="AA41" t="s">
        <v>480</v>
      </c>
      <c r="AB41" t="s">
        <v>462</v>
      </c>
      <c r="AC41">
        <f>AC40-AC39</f>
        <v>94400</v>
      </c>
      <c r="AD41">
        <f t="shared" ref="AD41:AE41" si="6">AD40-AD39</f>
        <v>7080</v>
      </c>
      <c r="AE41">
        <f t="shared" si="6"/>
        <v>101480</v>
      </c>
      <c r="AI41" s="20" t="s">
        <v>450</v>
      </c>
      <c r="AJ41" s="35">
        <f>AF33</f>
        <v>10</v>
      </c>
      <c r="AK41" s="35">
        <f>AG33</f>
        <v>40000</v>
      </c>
      <c r="AL41" s="36">
        <f>AH33</f>
        <v>0.18</v>
      </c>
      <c r="AM41" s="35">
        <f>AJ33</f>
        <v>10</v>
      </c>
      <c r="AN41" s="35">
        <f>AK33</f>
        <v>3000</v>
      </c>
      <c r="AO41" s="37">
        <f>AL33</f>
        <v>0.18</v>
      </c>
    </row>
    <row r="42" spans="25:50" x14ac:dyDescent="0.4">
      <c r="AI42" s="20" t="s">
        <v>484</v>
      </c>
      <c r="AJ42" s="31">
        <v>12</v>
      </c>
      <c r="AK42" s="31"/>
      <c r="AL42" s="31"/>
      <c r="AM42" s="31">
        <v>12</v>
      </c>
      <c r="AN42" s="31"/>
      <c r="AO42" s="32"/>
    </row>
    <row r="43" spans="25:50" x14ac:dyDescent="0.4">
      <c r="AA43" t="s">
        <v>450</v>
      </c>
      <c r="AB43" t="s">
        <v>470</v>
      </c>
      <c r="AC43">
        <f>AF34*AG34*(1+AH34)</f>
        <v>424800</v>
      </c>
      <c r="AD43">
        <f>AJ33*AK33*(1+AL33)</f>
        <v>35400</v>
      </c>
      <c r="AE43">
        <f>AC43+AD43</f>
        <v>460200</v>
      </c>
      <c r="AI43" s="20" t="s">
        <v>479</v>
      </c>
      <c r="AJ43" s="33">
        <f>IF(AJ42&lt;&gt;"",AJ42,AJ41)</f>
        <v>12</v>
      </c>
      <c r="AK43" s="33">
        <f t="shared" ref="AK43:AO43" si="7">IF(AK42&lt;&gt;"",AK42,AK41)</f>
        <v>40000</v>
      </c>
      <c r="AL43" s="33">
        <f t="shared" si="7"/>
        <v>0.18</v>
      </c>
      <c r="AM43" s="33">
        <f t="shared" si="7"/>
        <v>12</v>
      </c>
      <c r="AN43" s="33">
        <f t="shared" si="7"/>
        <v>3000</v>
      </c>
      <c r="AO43" s="34">
        <f t="shared" si="7"/>
        <v>0.18</v>
      </c>
    </row>
    <row r="44" spans="25:50" x14ac:dyDescent="0.4">
      <c r="AA44" t="s">
        <v>479</v>
      </c>
      <c r="AB44" t="s">
        <v>470</v>
      </c>
      <c r="AC44">
        <f>AS34*AT34*(1+AU34)</f>
        <v>495600</v>
      </c>
      <c r="AD44">
        <f>AV34*AW34*(1+AX34)</f>
        <v>285000</v>
      </c>
      <c r="AE44">
        <f>AC44+AD44</f>
        <v>780600</v>
      </c>
      <c r="AI44" s="20"/>
      <c r="AJ44" s="21"/>
      <c r="AK44" s="21"/>
      <c r="AL44" s="21"/>
      <c r="AM44" s="21"/>
      <c r="AN44" s="21"/>
      <c r="AO44" s="22"/>
    </row>
    <row r="45" spans="25:50" x14ac:dyDescent="0.4">
      <c r="AA45" t="s">
        <v>480</v>
      </c>
      <c r="AB45" t="s">
        <v>470</v>
      </c>
      <c r="AC45">
        <f>AC44-AC43</f>
        <v>70800</v>
      </c>
      <c r="AD45">
        <f t="shared" ref="AD45" si="8">AD44-AD43</f>
        <v>249600</v>
      </c>
      <c r="AE45">
        <f t="shared" ref="AE45" si="9">AE44-AE43</f>
        <v>320400</v>
      </c>
      <c r="AI45" s="40" t="s">
        <v>485</v>
      </c>
      <c r="AJ45" s="41">
        <f>AJ41*AK41*(1+AL41)+AM41*AN41*(1+AO41)</f>
        <v>507400</v>
      </c>
      <c r="AK45" s="41" t="s">
        <v>479</v>
      </c>
      <c r="AL45" s="41">
        <f>AJ43*AK43*(1+AL43)+AM43*AN43*(1+AO43)</f>
        <v>608880</v>
      </c>
      <c r="AM45" s="41" t="s">
        <v>488</v>
      </c>
      <c r="AN45" s="41"/>
      <c r="AO45" s="42">
        <f>AL45-AJ45</f>
        <v>101480</v>
      </c>
    </row>
  </sheetData>
  <conditionalFormatting sqref="AO45">
    <cfRule type="iconSet" priority="1">
      <iconSet iconSet="3Arrows">
        <cfvo type="percent" val="0"/>
        <cfvo type="percent" val="33"/>
        <cfvo type="percent" val="67"/>
      </iconSet>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BaseData</vt:lpstr>
      <vt:lpstr>Transformed PO</vt:lpstr>
      <vt:lpstr>Pivot Summary</vt:lpstr>
      <vt:lpstr>SALES 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Manohar Nimmana</dc:creator>
  <cp:lastModifiedBy>accounts</cp:lastModifiedBy>
  <dcterms:created xsi:type="dcterms:W3CDTF">2015-06-05T18:17:20Z</dcterms:created>
  <dcterms:modified xsi:type="dcterms:W3CDTF">2026-05-02T11:26:22Z</dcterms:modified>
</cp:coreProperties>
</file>